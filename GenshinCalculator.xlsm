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OneDrive\cs\genshin\GenshinCalculator\"/>
    </mc:Choice>
  </mc:AlternateContent>
  <xr:revisionPtr revIDLastSave="0" documentId="13_ncr:1_{40A4B4AD-3C78-4A5F-A90B-B0D2BDE37A09}" xr6:coauthVersionLast="47" xr6:coauthVersionMax="47" xr10:uidLastSave="{00000000-0000-0000-0000-000000000000}"/>
  <bookViews>
    <workbookView xWindow="-108" yWindow="-108" windowWidth="23256" windowHeight="12576" tabRatio="799" xr2:uid="{00000000-000D-0000-FFFF-FFFF00000000}"/>
  </bookViews>
  <sheets>
    <sheet name="首页" sheetId="10" r:id="rId1"/>
    <sheet name="背包-养成道具" sheetId="7" r:id="rId2"/>
    <sheet name="背包-材料" sheetId="9" r:id="rId3"/>
    <sheet name="伤害计算" sheetId="14" r:id="rId4"/>
    <sheet name="圣遗物属性" sheetId="15" r:id="rId5"/>
    <sheet name="角色" sheetId="6" r:id="rId6"/>
    <sheet name="武器" sheetId="11" r:id="rId7"/>
    <sheet name="阅历" sheetId="4" r:id="rId8"/>
    <sheet name="角色等级" sheetId="1" r:id="rId9"/>
    <sheet name="角色材料" sheetId="5" r:id="rId10"/>
    <sheet name="天赋材料" sheetId="13" r:id="rId11"/>
    <sheet name="圣遗物" sheetId="3" r:id="rId12"/>
    <sheet name="武器等级" sheetId="2" r:id="rId13"/>
    <sheet name="武器材料" sheetId="12" r:id="rId14"/>
    <sheet name="食物" sheetId="8" r:id="rId15"/>
    <sheet name="掉落期望" sheetId="16" r:id="rId16"/>
  </sheets>
  <externalReferences>
    <externalReference r:id="rId17"/>
  </externalReferences>
  <definedNames>
    <definedName name="_xlnm._FilterDatabase" localSheetId="1" hidden="1">'背包-养成道具'!$A$1:$I$151</definedName>
    <definedName name="_xlnm._FilterDatabase" localSheetId="5" hidden="1">角色!$A$1:$P$37</definedName>
    <definedName name="_xlnm._FilterDatabase" localSheetId="6" hidden="1">武器!$A$1:$H$1</definedName>
    <definedName name="solver_cvg" localSheetId="3" hidden="1">0.0001</definedName>
    <definedName name="solver_drv" localSheetId="3" hidden="1">2</definedName>
    <definedName name="solver_eng" localSheetId="1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伤害计算!$P$12</definedName>
    <definedName name="solver_lhs2" localSheetId="3" hidden="1">伤害计算!$P$2:$P$11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1" hidden="1">1</definedName>
    <definedName name="solver_neg" localSheetId="3" hidden="1">1</definedName>
    <definedName name="solver_nod" localSheetId="3" hidden="1">2147483647</definedName>
    <definedName name="solver_num" localSheetId="1" hidden="1">0</definedName>
    <definedName name="solver_num" localSheetId="3" hidden="1">0</definedName>
    <definedName name="solver_nwt" localSheetId="3" hidden="1">1</definedName>
    <definedName name="solver_opt" localSheetId="1" hidden="1">'背包-养成道具'!$H$64</definedName>
    <definedName name="solver_pre" localSheetId="3" hidden="1">0.000001</definedName>
    <definedName name="solver_rbv" localSheetId="3" hidden="1">2</definedName>
    <definedName name="solver_rel1" localSheetId="3" hidden="1">2</definedName>
    <definedName name="solver_rel2" localSheetId="3" hidden="1">3</definedName>
    <definedName name="solver_rhs1" localSheetId="3" hidden="1">28</definedName>
    <definedName name="solver_rhs2" localSheetId="3" hidden="1">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1" hidden="1">1</definedName>
    <definedName name="solver_typ" localSheetId="3" hidden="1">1</definedName>
    <definedName name="solver_val" localSheetId="1" hidden="1">0</definedName>
    <definedName name="solver_val" localSheetId="3" hidden="1">0</definedName>
    <definedName name="solver_ver" localSheetId="1" hidden="1">3</definedName>
    <definedName name="solver_ver" localSheetId="3" hidden="1">3</definedName>
    <definedName name="人物">[1]角色!$A$2:$A$27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9" i="7" l="1"/>
  <c r="K60" i="7"/>
  <c r="K61" i="7"/>
  <c r="K62" i="7"/>
  <c r="K63" i="7"/>
  <c r="K64" i="7"/>
  <c r="K65" i="7"/>
  <c r="K66" i="7"/>
  <c r="K67" i="7"/>
  <c r="K69" i="7"/>
  <c r="J68" i="7"/>
  <c r="K68" i="7" s="1"/>
  <c r="J69" i="7"/>
  <c r="J67" i="7"/>
  <c r="J66" i="7"/>
  <c r="J65" i="7"/>
  <c r="J64" i="7"/>
  <c r="J63" i="7"/>
  <c r="J62" i="7"/>
  <c r="J61" i="7"/>
  <c r="J60" i="7"/>
  <c r="J59" i="7"/>
  <c r="K27" i="14"/>
  <c r="E23" i="14"/>
  <c r="K28" i="14" s="1"/>
  <c r="K22" i="14"/>
  <c r="H24" i="14"/>
  <c r="K21" i="14" s="1"/>
  <c r="T24" i="14"/>
  <c r="S21" i="14"/>
  <c r="C4" i="16"/>
  <c r="C3" i="16"/>
  <c r="T28" i="14"/>
  <c r="T26" i="14"/>
  <c r="P12" i="14"/>
  <c r="H21" i="15"/>
  <c r="P20" i="15"/>
  <c r="P21" i="15"/>
  <c r="P19" i="15"/>
  <c r="P18" i="15"/>
  <c r="J21" i="15"/>
  <c r="O22" i="15"/>
  <c r="N22" i="15"/>
  <c r="M22" i="15"/>
  <c r="L22" i="15"/>
  <c r="K22" i="15"/>
  <c r="J18" i="15"/>
  <c r="H18" i="15" s="1"/>
  <c r="J19" i="15"/>
  <c r="H19" i="15" s="1"/>
  <c r="J20" i="15"/>
  <c r="H20" i="15" s="1"/>
  <c r="K17" i="14"/>
  <c r="B5" i="14"/>
  <c r="B6" i="14" s="1"/>
  <c r="T30" i="14"/>
  <c r="T29" i="14"/>
  <c r="T27" i="14"/>
  <c r="O5" i="14"/>
  <c r="B20" i="14"/>
  <c r="T25" i="14" s="1"/>
  <c r="T3" i="14"/>
  <c r="J4" i="15"/>
  <c r="O4" i="14" s="1"/>
  <c r="T6" i="14"/>
  <c r="T5" i="14"/>
  <c r="T4" i="14"/>
  <c r="T2" i="14"/>
  <c r="L3" i="14"/>
  <c r="L2" i="14"/>
  <c r="L4" i="14"/>
  <c r="L6" i="14"/>
  <c r="L5" i="14"/>
  <c r="J3" i="15"/>
  <c r="O2" i="14" s="1"/>
  <c r="J5" i="15"/>
  <c r="J6" i="15"/>
  <c r="O6" i="14" s="1"/>
  <c r="J7" i="15"/>
  <c r="O7" i="14" s="1"/>
  <c r="J8" i="15"/>
  <c r="O8" i="14" s="1"/>
  <c r="J9" i="15"/>
  <c r="O9" i="14" s="1"/>
  <c r="B30" i="14" s="1"/>
  <c r="J10" i="15"/>
  <c r="O10" i="14" s="1"/>
  <c r="J11" i="15"/>
  <c r="O11" i="14" s="1"/>
  <c r="B29" i="14" s="1"/>
  <c r="K24" i="14" s="1"/>
  <c r="J2" i="15"/>
  <c r="B120" i="7"/>
  <c r="B126" i="7"/>
  <c r="B125" i="7"/>
  <c r="B124" i="7"/>
  <c r="B119" i="7"/>
  <c r="B118" i="7"/>
  <c r="B123" i="7"/>
  <c r="B117" i="7"/>
  <c r="B122" i="7"/>
  <c r="B116" i="7"/>
  <c r="B121" i="7"/>
  <c r="B115" i="7"/>
  <c r="B87" i="7"/>
  <c r="E54" i="4"/>
  <c r="B21" i="14" l="1"/>
  <c r="B22" i="14" s="1"/>
  <c r="B24" i="14" s="1"/>
  <c r="K20" i="14" s="1"/>
  <c r="B9" i="14"/>
  <c r="B10" i="14"/>
  <c r="B12" i="14"/>
  <c r="B33" i="14" s="1"/>
  <c r="O16" i="14"/>
  <c r="O17" i="14"/>
  <c r="J22" i="15"/>
  <c r="O15" i="14"/>
  <c r="B7" i="14"/>
  <c r="B28" i="14" s="1"/>
  <c r="K25" i="14" s="1"/>
  <c r="B26" i="14"/>
  <c r="B11" i="14"/>
  <c r="B31" i="14"/>
  <c r="B8" i="14"/>
  <c r="B27" i="14"/>
  <c r="B53" i="4"/>
  <c r="B54" i="4"/>
  <c r="B55" i="4"/>
  <c r="B56" i="4"/>
  <c r="E27" i="14" l="1"/>
  <c r="E29" i="14"/>
  <c r="E28" i="14"/>
  <c r="O25" i="14"/>
  <c r="B23" i="14"/>
  <c r="B32" i="14"/>
  <c r="E55" i="4"/>
  <c r="G55" i="4" s="1"/>
  <c r="H55" i="4" s="1"/>
  <c r="F54" i="4"/>
  <c r="O21" i="14" l="1"/>
  <c r="O23" i="14"/>
  <c r="E56" i="4"/>
  <c r="G56" i="4" s="1"/>
  <c r="H56" i="4" s="1"/>
  <c r="G54" i="4"/>
  <c r="H54" i="4" s="1"/>
  <c r="H41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3" i="1"/>
  <c r="C4" i="1" s="1"/>
  <c r="B45" i="4"/>
  <c r="B46" i="4"/>
  <c r="B47" i="4"/>
  <c r="B48" i="4"/>
  <c r="B49" i="4"/>
  <c r="B50" i="4"/>
  <c r="B51" i="4"/>
  <c r="B52" i="4"/>
  <c r="C11" i="1" l="1"/>
  <c r="C51" i="1"/>
  <c r="C91" i="1"/>
  <c r="C83" i="1"/>
  <c r="C75" i="1"/>
  <c r="C67" i="1"/>
  <c r="C59" i="1"/>
  <c r="C47" i="1"/>
  <c r="C39" i="1"/>
  <c r="C31" i="1"/>
  <c r="C23" i="1"/>
  <c r="C15" i="1"/>
  <c r="C7" i="1"/>
  <c r="C10" i="1"/>
  <c r="C87" i="1"/>
  <c r="C79" i="1"/>
  <c r="C71" i="1"/>
  <c r="C63" i="1"/>
  <c r="C55" i="1"/>
  <c r="C43" i="1"/>
  <c r="C35" i="1"/>
  <c r="C27" i="1"/>
  <c r="C19" i="1"/>
  <c r="C90" i="1"/>
  <c r="C86" i="1"/>
  <c r="C82" i="1"/>
  <c r="C78" i="1"/>
  <c r="C74" i="1"/>
  <c r="C70" i="1"/>
  <c r="C66" i="1"/>
  <c r="C62" i="1"/>
  <c r="C58" i="1"/>
  <c r="C54" i="1"/>
  <c r="C50" i="1"/>
  <c r="C46" i="1"/>
  <c r="C42" i="1"/>
  <c r="C38" i="1"/>
  <c r="C34" i="1"/>
  <c r="C30" i="1"/>
  <c r="C26" i="1"/>
  <c r="C22" i="1"/>
  <c r="C18" i="1"/>
  <c r="C14" i="1"/>
  <c r="C6" i="1"/>
  <c r="C89" i="1"/>
  <c r="C85" i="1"/>
  <c r="C81" i="1"/>
  <c r="C77" i="1"/>
  <c r="C73" i="1"/>
  <c r="C69" i="1"/>
  <c r="C65" i="1"/>
  <c r="C61" i="1"/>
  <c r="C57" i="1"/>
  <c r="C53" i="1"/>
  <c r="C49" i="1"/>
  <c r="C45" i="1"/>
  <c r="C41" i="1"/>
  <c r="C37" i="1"/>
  <c r="C33" i="1"/>
  <c r="C29" i="1"/>
  <c r="C25" i="1"/>
  <c r="C21" i="1"/>
  <c r="C17" i="1"/>
  <c r="C13" i="1"/>
  <c r="C9" i="1"/>
  <c r="C5" i="1"/>
  <c r="C3" i="1"/>
  <c r="C88" i="1"/>
  <c r="C84" i="1"/>
  <c r="C80" i="1"/>
  <c r="C76" i="1"/>
  <c r="C72" i="1"/>
  <c r="C68" i="1"/>
  <c r="C64" i="1"/>
  <c r="C60" i="1"/>
  <c r="C56" i="1"/>
  <c r="C52" i="1"/>
  <c r="C48" i="1"/>
  <c r="C44" i="1"/>
  <c r="C40" i="1"/>
  <c r="C36" i="1"/>
  <c r="C32" i="1"/>
  <c r="C28" i="1"/>
  <c r="C24" i="1"/>
  <c r="C20" i="1"/>
  <c r="C16" i="1"/>
  <c r="C12" i="1"/>
  <c r="C8" i="1"/>
  <c r="E5" i="3" l="1"/>
  <c r="F5" i="3"/>
  <c r="E6" i="3"/>
  <c r="F6" i="3"/>
  <c r="E7" i="3"/>
  <c r="F7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F4" i="3"/>
  <c r="E4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26" i="3"/>
  <c r="F26" i="3"/>
  <c r="E27" i="3"/>
  <c r="F27" i="3"/>
  <c r="E28" i="3"/>
  <c r="F28" i="3"/>
  <c r="E29" i="3"/>
  <c r="F29" i="3"/>
  <c r="E30" i="3"/>
  <c r="F30" i="3"/>
  <c r="E31" i="3"/>
  <c r="F31" i="3"/>
  <c r="F17" i="3"/>
  <c r="E17" i="3"/>
  <c r="E35" i="3"/>
  <c r="F35" i="3"/>
  <c r="E36" i="3"/>
  <c r="F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E46" i="3"/>
  <c r="F46" i="3"/>
  <c r="E47" i="3"/>
  <c r="F47" i="3"/>
  <c r="E48" i="3"/>
  <c r="F48" i="3"/>
  <c r="E49" i="3"/>
  <c r="F49" i="3"/>
  <c r="E50" i="3"/>
  <c r="F50" i="3"/>
  <c r="E51" i="3"/>
  <c r="F51" i="3"/>
  <c r="E52" i="3"/>
  <c r="F52" i="3"/>
  <c r="F34" i="3"/>
  <c r="E34" i="3"/>
  <c r="K5" i="13" l="1"/>
  <c r="K6" i="13"/>
  <c r="K7" i="13"/>
  <c r="K8" i="13"/>
  <c r="K9" i="13"/>
  <c r="K10" i="13"/>
  <c r="K11" i="13"/>
  <c r="K4" i="13"/>
  <c r="B43" i="4" l="1"/>
  <c r="B44" i="4"/>
  <c r="B42" i="4" l="1"/>
  <c r="B114" i="7" l="1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6" i="7"/>
  <c r="B85" i="7"/>
  <c r="B84" i="7"/>
  <c r="B83" i="7"/>
  <c r="B82" i="7"/>
  <c r="B81" i="7"/>
  <c r="B80" i="7"/>
  <c r="B79" i="7"/>
  <c r="B78" i="7"/>
  <c r="B77" i="7"/>
  <c r="B76" i="7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3" i="4"/>
  <c r="F25" i="2"/>
  <c r="E25" i="2"/>
  <c r="F24" i="2"/>
  <c r="E24" i="2"/>
  <c r="F23" i="2"/>
  <c r="E23" i="2"/>
  <c r="F22" i="2"/>
  <c r="E22" i="2"/>
  <c r="F21" i="2"/>
  <c r="E21" i="2"/>
  <c r="F20" i="2"/>
  <c r="E20" i="2"/>
  <c r="F17" i="2"/>
  <c r="E17" i="2"/>
  <c r="F16" i="2"/>
  <c r="E16" i="2"/>
  <c r="F15" i="2"/>
  <c r="E15" i="2"/>
  <c r="F14" i="2"/>
  <c r="E14" i="2"/>
  <c r="F13" i="2"/>
  <c r="E13" i="2"/>
  <c r="F12" i="2"/>
  <c r="E12" i="2"/>
  <c r="E5" i="2"/>
  <c r="F5" i="2"/>
  <c r="E6" i="2"/>
  <c r="F6" i="2"/>
  <c r="E7" i="2"/>
  <c r="F7" i="2"/>
  <c r="E8" i="2"/>
  <c r="F8" i="2"/>
  <c r="E9" i="2"/>
  <c r="F9" i="2"/>
  <c r="F4" i="2"/>
  <c r="E4" i="2"/>
  <c r="O3" i="14"/>
  <c r="B25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B2" authorId="0" shapeId="0" xr:uid="{F6F0B2B2-0E10-4504-9B4B-E93776C90012}">
      <text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sz val="8"/>
            <color indexed="81"/>
            <rFont val="微软雅黑"/>
            <family val="2"/>
            <charset val="134"/>
          </rPr>
          <t>带加号表示已突破
如：
40=40级未突破
40+=40级已突破</t>
        </r>
      </text>
    </comment>
    <comment ref="O2" authorId="0" shapeId="0" xr:uid="{83CD614B-C33D-4F37-9F45-3E1FAE57920B}">
      <text>
        <r>
          <rPr>
            <sz val="9"/>
            <color indexed="81"/>
            <rFont val="宋体"/>
            <family val="3"/>
            <charset val="134"/>
          </rPr>
          <t xml:space="preserve">
圣遗物</t>
        </r>
        <r>
          <rPr>
            <sz val="8"/>
            <color indexed="81"/>
            <rFont val="微软雅黑"/>
            <family val="2"/>
            <charset val="134"/>
          </rPr>
          <t>名称可任意填写
仅作为来源标识使用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R2" authorId="0" shapeId="0" xr:uid="{70D8CBC7-C345-4518-A1A3-94FC3E7F4FAC}">
      <text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sz val="8"/>
            <color indexed="81"/>
            <rFont val="微软雅黑"/>
            <family val="2"/>
            <charset val="134"/>
          </rPr>
          <t>先填写星级后，这里会出现对应的等级选项，目标等级同理。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Yurine Hanazono</author>
  </authors>
  <commentList>
    <comment ref="G152" authorId="0" shapeId="0" xr:uid="{B2D4F472-A911-42F4-94CC-FA670BE67D51}">
      <text>
        <r>
          <rPr>
            <b/>
            <sz val="9"/>
            <color indexed="81"/>
            <rFont val="宋体"/>
            <family val="3"/>
            <charset val="134"/>
          </rPr>
          <t>目前并不确定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Yurine Hanazono</author>
  </authors>
  <commentList>
    <comment ref="G21" authorId="0" shapeId="0" xr:uid="{C4F06577-65D2-412C-B849-4E9DC007421D}">
      <text>
        <r>
          <rPr>
            <b/>
            <sz val="9"/>
            <color indexed="81"/>
            <rFont val="宋体"/>
            <family val="3"/>
            <charset val="134"/>
          </rPr>
          <t>如神里二命，q分叉各造成原本20%的伤害，以及行秋四命</t>
        </r>
      </text>
    </comment>
    <comment ref="A28" authorId="0" shapeId="0" xr:uid="{364FBE2D-917D-4F44-A5DF-426D669F176C}">
      <text>
        <r>
          <rPr>
            <b/>
            <sz val="9"/>
            <color indexed="81"/>
            <rFont val="宋体"/>
            <family val="3"/>
            <charset val="134"/>
          </rPr>
          <t>暴击大于100</t>
        </r>
        <r>
          <rPr>
            <b/>
            <u/>
            <sz val="9"/>
            <color indexed="81"/>
            <rFont val="宋体"/>
            <family val="3"/>
            <charset val="134"/>
          </rPr>
          <t>不会</t>
        </r>
        <r>
          <rPr>
            <b/>
            <sz val="9"/>
            <color indexed="81"/>
            <rFont val="宋体"/>
            <family val="3"/>
            <charset val="134"/>
          </rPr>
          <t>导致计算结果错误，这个数字为总暴击，可能高于角色面板所显示的暴击率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Yurine Hanazono</author>
  </authors>
  <commentList>
    <comment ref="I1" authorId="0" shapeId="0" xr:uid="{0682E504-DBA7-4925-BC5F-D67AA56592CB}">
      <text>
        <r>
          <rPr>
            <b/>
            <sz val="9"/>
            <color indexed="81"/>
            <rFont val="宋体"/>
            <family val="3"/>
            <charset val="134"/>
          </rPr>
          <t>忽略圣遗物副词条的隐藏小数，此处忽略不影响计算精度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Yurine Hanazono</author>
  </authors>
  <commentList>
    <comment ref="C1" authorId="0" shapeId="0" xr:uid="{8E9FFF01-C59C-4C3B-8F6E-80A2D6BB2B9E}">
      <text>
        <r>
          <rPr>
            <b/>
            <sz val="9"/>
            <color indexed="81"/>
            <rFont val="宋体"/>
            <family val="3"/>
            <charset val="134"/>
          </rPr>
          <t>已换算为绿色材料数量</t>
        </r>
      </text>
    </comment>
  </commentList>
</comments>
</file>

<file path=xl/sharedStrings.xml><?xml version="1.0" encoding="utf-8"?>
<sst xmlns="http://schemas.openxmlformats.org/spreadsheetml/2006/main" count="1943" uniqueCount="717">
  <si>
    <t>等级</t>
    <phoneticPr fontId="1" type="noConversion"/>
  </si>
  <si>
    <t>经验</t>
    <phoneticPr fontId="1" type="noConversion"/>
  </si>
  <si>
    <t>累计经验</t>
    <phoneticPr fontId="1" type="noConversion"/>
  </si>
  <si>
    <t>累计摩拉</t>
    <phoneticPr fontId="1" type="noConversion"/>
  </si>
  <si>
    <t>升级经验</t>
    <phoneticPr fontId="1" type="noConversion"/>
  </si>
  <si>
    <t>升级摩拉</t>
    <phoneticPr fontId="1" type="noConversion"/>
  </si>
  <si>
    <t>三星等级</t>
    <phoneticPr fontId="1" type="noConversion"/>
  </si>
  <si>
    <t>累计阅历</t>
    <phoneticPr fontId="1" type="noConversion"/>
  </si>
  <si>
    <t>升级阅历</t>
    <phoneticPr fontId="1" type="noConversion"/>
  </si>
  <si>
    <t>人物</t>
    <phoneticPr fontId="1" type="noConversion"/>
  </si>
  <si>
    <t>材料1</t>
    <phoneticPr fontId="1" type="noConversion"/>
  </si>
  <si>
    <t>数量1</t>
    <phoneticPr fontId="1" type="noConversion"/>
  </si>
  <si>
    <t>材料2</t>
    <phoneticPr fontId="1" type="noConversion"/>
  </si>
  <si>
    <t>数量2</t>
    <phoneticPr fontId="1" type="noConversion"/>
  </si>
  <si>
    <t>材料3</t>
    <phoneticPr fontId="1" type="noConversion"/>
  </si>
  <si>
    <t>数量3</t>
    <phoneticPr fontId="1" type="noConversion"/>
  </si>
  <si>
    <t>材料4</t>
    <phoneticPr fontId="1" type="noConversion"/>
  </si>
  <si>
    <t>数量4</t>
    <phoneticPr fontId="1" type="noConversion"/>
  </si>
  <si>
    <t>常燃火种</t>
    <phoneticPr fontId="1" type="noConversion"/>
  </si>
  <si>
    <t>新兵的徽记</t>
    <phoneticPr fontId="1" type="noConversion"/>
  </si>
  <si>
    <t>士官的徽记</t>
    <phoneticPr fontId="1" type="noConversion"/>
  </si>
  <si>
    <t>尉官的徽记</t>
    <phoneticPr fontId="1" type="noConversion"/>
  </si>
  <si>
    <t>燃愿玛瑙</t>
    <phoneticPr fontId="1" type="noConversion"/>
  </si>
  <si>
    <t>采集品</t>
    <phoneticPr fontId="1" type="noConversion"/>
  </si>
  <si>
    <t>精英概率</t>
    <phoneticPr fontId="1" type="noConversion"/>
  </si>
  <si>
    <t>精英必出</t>
    <phoneticPr fontId="1" type="noConversion"/>
  </si>
  <si>
    <t>名称</t>
    <phoneticPr fontId="1" type="noConversion"/>
  </si>
  <si>
    <t>史莱姆凝液</t>
    <phoneticPr fontId="1" type="noConversion"/>
  </si>
  <si>
    <t>史莱姆</t>
    <phoneticPr fontId="1" type="noConversion"/>
  </si>
  <si>
    <t>史莱姆清</t>
    <phoneticPr fontId="1" type="noConversion"/>
  </si>
  <si>
    <t>史莱姆原浆</t>
    <phoneticPr fontId="1" type="noConversion"/>
  </si>
  <si>
    <t>面具</t>
    <phoneticPr fontId="1" type="noConversion"/>
  </si>
  <si>
    <t>破损的面具</t>
    <phoneticPr fontId="1" type="noConversion"/>
  </si>
  <si>
    <t>污秽的面具</t>
    <phoneticPr fontId="1" type="noConversion"/>
  </si>
  <si>
    <t>不祥的面具</t>
    <phoneticPr fontId="1" type="noConversion"/>
  </si>
  <si>
    <t>绘卷</t>
    <phoneticPr fontId="1" type="noConversion"/>
  </si>
  <si>
    <t>导能绘卷</t>
    <phoneticPr fontId="1" type="noConversion"/>
  </si>
  <si>
    <t>封魔绘卷</t>
    <phoneticPr fontId="1" type="noConversion"/>
  </si>
  <si>
    <t>箭簇</t>
    <phoneticPr fontId="1" type="noConversion"/>
  </si>
  <si>
    <t>牢固的箭簇</t>
    <phoneticPr fontId="1" type="noConversion"/>
  </si>
  <si>
    <t>锐利的箭簇</t>
    <phoneticPr fontId="1" type="noConversion"/>
  </si>
  <si>
    <t>历战的箭簇</t>
    <phoneticPr fontId="1" type="noConversion"/>
  </si>
  <si>
    <t>号角</t>
    <phoneticPr fontId="1" type="noConversion"/>
  </si>
  <si>
    <t>沉重号角</t>
    <phoneticPr fontId="1" type="noConversion"/>
  </si>
  <si>
    <t>黑铜号角</t>
    <phoneticPr fontId="1" type="noConversion"/>
  </si>
  <si>
    <t>黑晶号角</t>
    <phoneticPr fontId="1" type="noConversion"/>
  </si>
  <si>
    <t>地脉</t>
    <phoneticPr fontId="1" type="noConversion"/>
  </si>
  <si>
    <t>地脉的旧枝</t>
    <phoneticPr fontId="1" type="noConversion"/>
  </si>
  <si>
    <t>地脉的枯叶</t>
    <phoneticPr fontId="1" type="noConversion"/>
  </si>
  <si>
    <t>地脉的新芽</t>
    <phoneticPr fontId="1" type="noConversion"/>
  </si>
  <si>
    <t>混沌</t>
    <phoneticPr fontId="1" type="noConversion"/>
  </si>
  <si>
    <t>混沌装置</t>
    <phoneticPr fontId="1" type="noConversion"/>
  </si>
  <si>
    <t>混沌回路</t>
    <phoneticPr fontId="1" type="noConversion"/>
  </si>
  <si>
    <t>混沌炉心</t>
    <phoneticPr fontId="1" type="noConversion"/>
  </si>
  <si>
    <t>雾虚</t>
    <phoneticPr fontId="1" type="noConversion"/>
  </si>
  <si>
    <t>雾虚花粉</t>
    <phoneticPr fontId="1" type="noConversion"/>
  </si>
  <si>
    <t>雾虚草囊</t>
    <phoneticPr fontId="1" type="noConversion"/>
  </si>
  <si>
    <t>雾虚灯芯</t>
    <phoneticPr fontId="1" type="noConversion"/>
  </si>
  <si>
    <t>猎兵祭刀</t>
    <phoneticPr fontId="1" type="noConversion"/>
  </si>
  <si>
    <t>特工祭刀</t>
    <phoneticPr fontId="1" type="noConversion"/>
  </si>
  <si>
    <t>祭刀</t>
    <phoneticPr fontId="1" type="noConversion"/>
  </si>
  <si>
    <t>徽记</t>
    <phoneticPr fontId="1" type="noConversion"/>
  </si>
  <si>
    <t>鸦印</t>
    <phoneticPr fontId="1" type="noConversion"/>
  </si>
  <si>
    <t>寻宝鸦印</t>
    <phoneticPr fontId="1" type="noConversion"/>
  </si>
  <si>
    <t>藏银鸦印</t>
    <phoneticPr fontId="1" type="noConversion"/>
  </si>
  <si>
    <t>攫金鸦印</t>
    <phoneticPr fontId="1" type="noConversion"/>
  </si>
  <si>
    <t>现有数量</t>
    <phoneticPr fontId="1" type="noConversion"/>
  </si>
  <si>
    <t>飓风之种</t>
    <phoneticPr fontId="1" type="noConversion"/>
  </si>
  <si>
    <t>雷光棱镜</t>
    <phoneticPr fontId="1" type="noConversion"/>
  </si>
  <si>
    <t>玄岩之塔</t>
    <phoneticPr fontId="1" type="noConversion"/>
  </si>
  <si>
    <t>净水之心</t>
    <phoneticPr fontId="1" type="noConversion"/>
  </si>
  <si>
    <t>大英雄的经验</t>
    <phoneticPr fontId="1" type="noConversion"/>
  </si>
  <si>
    <t>冒险家的经验</t>
    <phoneticPr fontId="1" type="noConversion"/>
  </si>
  <si>
    <t>流浪者的经验</t>
    <phoneticPr fontId="1" type="noConversion"/>
  </si>
  <si>
    <t>极寒之核</t>
    <phoneticPr fontId="1" type="noConversion"/>
  </si>
  <si>
    <t>花蜜</t>
    <phoneticPr fontId="1" type="noConversion"/>
  </si>
  <si>
    <t>骗骗花蜜</t>
    <phoneticPr fontId="1" type="noConversion"/>
  </si>
  <si>
    <t>微光花蜜</t>
    <phoneticPr fontId="1" type="noConversion"/>
  </si>
  <si>
    <t>骨片</t>
    <phoneticPr fontId="1" type="noConversion"/>
  </si>
  <si>
    <t>石化的骨片</t>
    <phoneticPr fontId="1" type="noConversion"/>
  </si>
  <si>
    <t>结实的骨片</t>
    <phoneticPr fontId="1" type="noConversion"/>
  </si>
  <si>
    <t>脆弱的骨片</t>
    <phoneticPr fontId="1" type="noConversion"/>
  </si>
  <si>
    <t>涤净青金</t>
    <phoneticPr fontId="1" type="noConversion"/>
  </si>
  <si>
    <t>最胜紫晶</t>
    <phoneticPr fontId="1" type="noConversion"/>
  </si>
  <si>
    <t>自在松石</t>
    <phoneticPr fontId="1" type="noConversion"/>
  </si>
  <si>
    <t>哀叙冰玉</t>
    <phoneticPr fontId="1" type="noConversion"/>
  </si>
  <si>
    <t>坚牢黄玉</t>
    <phoneticPr fontId="1" type="noConversion"/>
  </si>
  <si>
    <t>自由</t>
    <phoneticPr fontId="1" type="noConversion"/>
  </si>
  <si>
    <t>抗争</t>
    <phoneticPr fontId="1" type="noConversion"/>
  </si>
  <si>
    <t>诗文</t>
    <phoneticPr fontId="1" type="noConversion"/>
  </si>
  <si>
    <t>繁荣</t>
    <phoneticPr fontId="1" type="noConversion"/>
  </si>
  <si>
    <t>勤劳</t>
    <phoneticPr fontId="1" type="noConversion"/>
  </si>
  <si>
    <t>黄金</t>
    <phoneticPr fontId="1" type="noConversion"/>
  </si>
  <si>
    <t>高塔孤王</t>
    <phoneticPr fontId="1" type="noConversion"/>
  </si>
  <si>
    <t>高塔孤王的碎梦</t>
    <phoneticPr fontId="1" type="noConversion"/>
  </si>
  <si>
    <t>高塔孤王的断片</t>
    <phoneticPr fontId="1" type="noConversion"/>
  </si>
  <si>
    <t>高塔孤王的残垣</t>
    <phoneticPr fontId="1" type="noConversion"/>
  </si>
  <si>
    <t>高塔孤王的破瓦</t>
    <phoneticPr fontId="1" type="noConversion"/>
  </si>
  <si>
    <t>凛风奔狼</t>
    <phoneticPr fontId="1" type="noConversion"/>
  </si>
  <si>
    <t>凛风奔狼的怀乡</t>
    <phoneticPr fontId="1" type="noConversion"/>
  </si>
  <si>
    <t>凛风奔狼的断牙</t>
    <phoneticPr fontId="1" type="noConversion"/>
  </si>
  <si>
    <t>凛风奔狼的裂齿</t>
    <phoneticPr fontId="1" type="noConversion"/>
  </si>
  <si>
    <t>凛风奔狼的始龀</t>
    <phoneticPr fontId="1" type="noConversion"/>
  </si>
  <si>
    <t>狮牙斗士</t>
    <phoneticPr fontId="1" type="noConversion"/>
  </si>
  <si>
    <t>狮牙斗士的理想</t>
    <phoneticPr fontId="1" type="noConversion"/>
  </si>
  <si>
    <t>狮牙斗士的镣铐</t>
    <phoneticPr fontId="1" type="noConversion"/>
  </si>
  <si>
    <t>狮牙斗士的铁链</t>
    <phoneticPr fontId="1" type="noConversion"/>
  </si>
  <si>
    <t>狮牙斗士的枷锁</t>
    <phoneticPr fontId="1" type="noConversion"/>
  </si>
  <si>
    <t>孤云寒林</t>
    <phoneticPr fontId="1" type="noConversion"/>
  </si>
  <si>
    <t>孤云寒林的神体</t>
    <phoneticPr fontId="1" type="noConversion"/>
  </si>
  <si>
    <t>孤云寒林的圣骸</t>
    <phoneticPr fontId="1" type="noConversion"/>
  </si>
  <si>
    <t>孤云寒林的辉岩</t>
    <phoneticPr fontId="1" type="noConversion"/>
  </si>
  <si>
    <t>孤云寒林的光砂</t>
    <phoneticPr fontId="1" type="noConversion"/>
  </si>
  <si>
    <t>雾海云间</t>
    <phoneticPr fontId="1" type="noConversion"/>
  </si>
  <si>
    <t>雾海云间的转还</t>
    <phoneticPr fontId="1" type="noConversion"/>
  </si>
  <si>
    <t>雾海云间的汞丹</t>
    <phoneticPr fontId="1" type="noConversion"/>
  </si>
  <si>
    <t>雾海云间的金丹</t>
    <phoneticPr fontId="1" type="noConversion"/>
  </si>
  <si>
    <t>雾海云间的铅丹</t>
    <phoneticPr fontId="1" type="noConversion"/>
  </si>
  <si>
    <t>漆黑陨铁</t>
    <phoneticPr fontId="1" type="noConversion"/>
  </si>
  <si>
    <t>漆黑陨铁的一粒</t>
    <phoneticPr fontId="1" type="noConversion"/>
  </si>
  <si>
    <t>漆黑陨铁的一片</t>
    <phoneticPr fontId="1" type="noConversion"/>
  </si>
  <si>
    <t>漆黑陨铁的一块</t>
    <phoneticPr fontId="1" type="noConversion"/>
  </si>
  <si>
    <t>漆黑陨铁的一角</t>
    <phoneticPr fontId="1" type="noConversion"/>
  </si>
  <si>
    <t>督察长祭刀</t>
    <phoneticPr fontId="1" type="noConversion"/>
  </si>
  <si>
    <t>禁咒绘卷</t>
    <phoneticPr fontId="1" type="noConversion"/>
  </si>
  <si>
    <t>原素花蜜</t>
    <phoneticPr fontId="1" type="noConversion"/>
  </si>
  <si>
    <t>备注</t>
    <phoneticPr fontId="1" type="noConversion"/>
  </si>
  <si>
    <t>蒙德土豆饼</t>
    <phoneticPr fontId="1" type="noConversion"/>
  </si>
  <si>
    <t>松果</t>
    <phoneticPr fontId="1" type="noConversion"/>
  </si>
  <si>
    <t>土豆</t>
    <phoneticPr fontId="1" type="noConversion"/>
  </si>
  <si>
    <t>果酱</t>
    <phoneticPr fontId="1" type="noConversion"/>
  </si>
  <si>
    <t>直接恢复</t>
    <phoneticPr fontId="1" type="noConversion"/>
  </si>
  <si>
    <t>烤蘑菇披萨</t>
    <phoneticPr fontId="1" type="noConversion"/>
  </si>
  <si>
    <t>蘑菇</t>
    <phoneticPr fontId="1" type="noConversion"/>
  </si>
  <si>
    <t>面粉</t>
    <phoneticPr fontId="1" type="noConversion"/>
  </si>
  <si>
    <t>卷心菜</t>
    <phoneticPr fontId="1" type="noConversion"/>
  </si>
  <si>
    <t>奶酪</t>
    <phoneticPr fontId="1" type="noConversion"/>
  </si>
  <si>
    <t>持续恢复</t>
    <phoneticPr fontId="1" type="noConversion"/>
  </si>
  <si>
    <t>风神杂烩菜</t>
    <phoneticPr fontId="1" type="noConversion"/>
  </si>
  <si>
    <t>胡萝卜</t>
    <phoneticPr fontId="1" type="noConversion"/>
  </si>
  <si>
    <t>洋葱</t>
    <phoneticPr fontId="1" type="noConversion"/>
  </si>
  <si>
    <t>庄园烤松饼</t>
    <phoneticPr fontId="1" type="noConversion"/>
  </si>
  <si>
    <t>鸟蛋</t>
    <phoneticPr fontId="1" type="noConversion"/>
  </si>
  <si>
    <t>树莓</t>
    <phoneticPr fontId="1" type="noConversion"/>
  </si>
  <si>
    <t>复活</t>
    <phoneticPr fontId="1" type="noConversion"/>
  </si>
  <si>
    <t>仙跳墙</t>
    <phoneticPr fontId="1" type="noConversion"/>
  </si>
  <si>
    <t>火腿</t>
    <phoneticPr fontId="1" type="noConversion"/>
  </si>
  <si>
    <t>螃蟹</t>
    <phoneticPr fontId="1" type="noConversion"/>
  </si>
  <si>
    <t>虾仁</t>
    <phoneticPr fontId="1" type="noConversion"/>
  </si>
  <si>
    <t>松茸</t>
    <phoneticPr fontId="1" type="noConversion"/>
  </si>
  <si>
    <t>攻击</t>
    <phoneticPr fontId="1" type="noConversion"/>
  </si>
  <si>
    <t>体力回复</t>
    <phoneticPr fontId="1" type="noConversion"/>
  </si>
  <si>
    <t>北地烟熏鸡</t>
    <phoneticPr fontId="1" type="noConversion"/>
  </si>
  <si>
    <t>熏禽肉</t>
    <phoneticPr fontId="1" type="noConversion"/>
  </si>
  <si>
    <t>滑翔减耗</t>
    <phoneticPr fontId="1" type="noConversion"/>
  </si>
  <si>
    <t>蜜酱胡萝卜煎肉</t>
    <phoneticPr fontId="1" type="noConversion"/>
  </si>
  <si>
    <t>兽肉</t>
    <phoneticPr fontId="1" type="noConversion"/>
  </si>
  <si>
    <t>糖</t>
    <phoneticPr fontId="1" type="noConversion"/>
  </si>
  <si>
    <t>攀爬减耗</t>
    <phoneticPr fontId="1" type="noConversion"/>
  </si>
  <si>
    <t>小麦</t>
    <phoneticPr fontId="1" type="noConversion"/>
  </si>
  <si>
    <t>奶油</t>
    <phoneticPr fontId="1" type="noConversion"/>
  </si>
  <si>
    <t>牛奶</t>
    <phoneticPr fontId="1" type="noConversion"/>
  </si>
  <si>
    <t>禽肉</t>
    <phoneticPr fontId="1" type="noConversion"/>
  </si>
  <si>
    <t>盐</t>
    <phoneticPr fontId="1" type="noConversion"/>
  </si>
  <si>
    <t>黄油</t>
    <phoneticPr fontId="1" type="noConversion"/>
  </si>
  <si>
    <t>甜甜花</t>
    <phoneticPr fontId="1" type="noConversion"/>
  </si>
  <si>
    <t>蟹黄</t>
    <phoneticPr fontId="1" type="noConversion"/>
  </si>
  <si>
    <t>日落果</t>
    <phoneticPr fontId="1" type="noConversion"/>
  </si>
  <si>
    <t>培根</t>
    <phoneticPr fontId="1" type="noConversion"/>
  </si>
  <si>
    <t>香肠</t>
    <phoneticPr fontId="1" type="noConversion"/>
  </si>
  <si>
    <t>磐石精油</t>
    <phoneticPr fontId="1" type="noConversion"/>
  </si>
  <si>
    <t>青蛙</t>
    <phoneticPr fontId="1" type="noConversion"/>
  </si>
  <si>
    <t>石珀</t>
    <phoneticPr fontId="1" type="noConversion"/>
  </si>
  <si>
    <t>惊雷精油</t>
    <phoneticPr fontId="1" type="noConversion"/>
  </si>
  <si>
    <t>电气水晶</t>
    <phoneticPr fontId="1" type="noConversion"/>
  </si>
  <si>
    <t>狂风精油</t>
    <phoneticPr fontId="1" type="noConversion"/>
  </si>
  <si>
    <t>蜥蜴尾巴</t>
    <phoneticPr fontId="1" type="noConversion"/>
  </si>
  <si>
    <t>蒲公英籽</t>
    <phoneticPr fontId="1" type="noConversion"/>
  </si>
  <si>
    <t>霜劫精油</t>
    <phoneticPr fontId="1" type="noConversion"/>
  </si>
  <si>
    <t>激流精油</t>
    <phoneticPr fontId="1" type="noConversion"/>
  </si>
  <si>
    <t>烈火精油</t>
    <phoneticPr fontId="1" type="noConversion"/>
  </si>
  <si>
    <t>冰雾花花朵</t>
    <phoneticPr fontId="1" type="noConversion"/>
  </si>
  <si>
    <t>莲蓬</t>
    <phoneticPr fontId="1" type="noConversion"/>
  </si>
  <si>
    <t>烈焰花花蕊</t>
    <phoneticPr fontId="1" type="noConversion"/>
  </si>
  <si>
    <t>防尘药剂</t>
    <phoneticPr fontId="1" type="noConversion"/>
  </si>
  <si>
    <t>绝缘药剂</t>
    <phoneticPr fontId="1" type="noConversion"/>
  </si>
  <si>
    <t>防风药剂</t>
    <phoneticPr fontId="1" type="noConversion"/>
  </si>
  <si>
    <t>耐寒药剂</t>
    <phoneticPr fontId="1" type="noConversion"/>
  </si>
  <si>
    <t>防潮药剂</t>
    <phoneticPr fontId="1" type="noConversion"/>
  </si>
  <si>
    <t>耐热药剂</t>
    <phoneticPr fontId="1" type="noConversion"/>
  </si>
  <si>
    <t>二级食材</t>
    <phoneticPr fontId="1" type="noConversion"/>
  </si>
  <si>
    <t>属性攻击</t>
    <phoneticPr fontId="1" type="noConversion"/>
  </si>
  <si>
    <t>属性防御</t>
    <phoneticPr fontId="1" type="noConversion"/>
  </si>
  <si>
    <t>蝴蝶翅膀</t>
    <phoneticPr fontId="1" type="noConversion"/>
  </si>
  <si>
    <t>晶核</t>
    <phoneticPr fontId="1" type="noConversion"/>
  </si>
  <si>
    <t>合成规则</t>
    <phoneticPr fontId="1" type="noConversion"/>
  </si>
  <si>
    <t>数量</t>
    <phoneticPr fontId="1" type="noConversion"/>
  </si>
  <si>
    <t>普通必出</t>
    <phoneticPr fontId="1" type="noConversion"/>
  </si>
  <si>
    <t>天赋书</t>
    <phoneticPr fontId="1" type="noConversion"/>
  </si>
  <si>
    <t>天赋材料</t>
    <phoneticPr fontId="1" type="noConversion"/>
  </si>
  <si>
    <t>龙狼材料</t>
    <phoneticPr fontId="1" type="noConversion"/>
  </si>
  <si>
    <t>可莉</t>
    <phoneticPr fontId="1" type="noConversion"/>
  </si>
  <si>
    <t>常燃火种</t>
    <phoneticPr fontId="1" type="noConversion"/>
  </si>
  <si>
    <t>慕风蘑菇</t>
    <phoneticPr fontId="1" type="noConversion"/>
  </si>
  <si>
    <t>绘卷</t>
    <phoneticPr fontId="1" type="noConversion"/>
  </si>
  <si>
    <t>自由</t>
    <phoneticPr fontId="1" type="noConversion"/>
  </si>
  <si>
    <t>迪卢克</t>
    <phoneticPr fontId="1" type="noConversion"/>
  </si>
  <si>
    <t>燃愿玛瑙</t>
    <phoneticPr fontId="1" type="noConversion"/>
  </si>
  <si>
    <t>小灯草</t>
    <phoneticPr fontId="1" type="noConversion"/>
  </si>
  <si>
    <t>徽记</t>
    <phoneticPr fontId="1" type="noConversion"/>
  </si>
  <si>
    <t>抗争</t>
    <phoneticPr fontId="1" type="noConversion"/>
  </si>
  <si>
    <t>莫娜</t>
    <phoneticPr fontId="1" type="noConversion"/>
  </si>
  <si>
    <t>琴</t>
    <phoneticPr fontId="1" type="noConversion"/>
  </si>
  <si>
    <t>温迪</t>
    <phoneticPr fontId="1" type="noConversion"/>
  </si>
  <si>
    <t>安柏</t>
    <phoneticPr fontId="1" type="noConversion"/>
  </si>
  <si>
    <t>砂糖</t>
    <phoneticPr fontId="1" type="noConversion"/>
  </si>
  <si>
    <t>芭芭拉</t>
    <phoneticPr fontId="1" type="noConversion"/>
  </si>
  <si>
    <t>雷泽</t>
    <phoneticPr fontId="1" type="noConversion"/>
  </si>
  <si>
    <t>班尼特</t>
    <phoneticPr fontId="1" type="noConversion"/>
  </si>
  <si>
    <t>丽莎</t>
    <phoneticPr fontId="1" type="noConversion"/>
  </si>
  <si>
    <t>凯亚</t>
    <phoneticPr fontId="1" type="noConversion"/>
  </si>
  <si>
    <t>菲谢尔</t>
    <phoneticPr fontId="1" type="noConversion"/>
  </si>
  <si>
    <t>刻晴</t>
    <phoneticPr fontId="1" type="noConversion"/>
  </si>
  <si>
    <t>七七</t>
    <phoneticPr fontId="1" type="noConversion"/>
  </si>
  <si>
    <t>魈</t>
    <phoneticPr fontId="1" type="noConversion"/>
  </si>
  <si>
    <t>凝光</t>
    <phoneticPr fontId="1" type="noConversion"/>
  </si>
  <si>
    <t>香菱</t>
    <phoneticPr fontId="1" type="noConversion"/>
  </si>
  <si>
    <t>重云</t>
    <phoneticPr fontId="1" type="noConversion"/>
  </si>
  <si>
    <t>行秋</t>
    <phoneticPr fontId="1" type="noConversion"/>
  </si>
  <si>
    <t>北斗</t>
    <phoneticPr fontId="1" type="noConversion"/>
  </si>
  <si>
    <t>花蜜</t>
    <phoneticPr fontId="1" type="noConversion"/>
  </si>
  <si>
    <t>自在松石</t>
    <phoneticPr fontId="1" type="noConversion"/>
  </si>
  <si>
    <t>属性</t>
    <phoneticPr fontId="1" type="noConversion"/>
  </si>
  <si>
    <t>火</t>
    <phoneticPr fontId="1" type="noConversion"/>
  </si>
  <si>
    <t>冰</t>
    <phoneticPr fontId="1" type="noConversion"/>
  </si>
  <si>
    <t>雷</t>
    <phoneticPr fontId="1" type="noConversion"/>
  </si>
  <si>
    <t>水</t>
    <phoneticPr fontId="1" type="noConversion"/>
  </si>
  <si>
    <t>风</t>
    <phoneticPr fontId="1" type="noConversion"/>
  </si>
  <si>
    <t>岩</t>
    <phoneticPr fontId="1" type="noConversion"/>
  </si>
  <si>
    <t>箭簇</t>
    <phoneticPr fontId="1" type="noConversion"/>
  </si>
  <si>
    <t>风车菊</t>
    <phoneticPr fontId="1" type="noConversion"/>
  </si>
  <si>
    <t>鸦印</t>
    <phoneticPr fontId="1" type="noConversion"/>
  </si>
  <si>
    <t>绝云椒椒</t>
    <phoneticPr fontId="1" type="noConversion"/>
  </si>
  <si>
    <t>史莱姆</t>
    <phoneticPr fontId="1" type="noConversion"/>
  </si>
  <si>
    <t>勤劳</t>
    <phoneticPr fontId="1" type="noConversion"/>
  </si>
  <si>
    <t>嘟嘟莲</t>
    <phoneticPr fontId="1" type="noConversion"/>
  </si>
  <si>
    <t>诗文</t>
    <phoneticPr fontId="1" type="noConversion"/>
  </si>
  <si>
    <t>琉璃袋</t>
    <phoneticPr fontId="1" type="noConversion"/>
  </si>
  <si>
    <t>繁荣</t>
    <phoneticPr fontId="1" type="noConversion"/>
  </si>
  <si>
    <t>石珀</t>
    <phoneticPr fontId="1" type="noConversion"/>
  </si>
  <si>
    <t>面具</t>
    <phoneticPr fontId="1" type="noConversion"/>
  </si>
  <si>
    <t>雷光棱镜</t>
    <phoneticPr fontId="1" type="noConversion"/>
  </si>
  <si>
    <t>飓风之种</t>
    <phoneticPr fontId="1" type="noConversion"/>
  </si>
  <si>
    <t>钩钩果</t>
    <phoneticPr fontId="1" type="noConversion"/>
  </si>
  <si>
    <t>落落莓</t>
    <phoneticPr fontId="1" type="noConversion"/>
  </si>
  <si>
    <t>夜泊石</t>
    <phoneticPr fontId="1" type="noConversion"/>
  </si>
  <si>
    <t>黄金</t>
    <phoneticPr fontId="1" type="noConversion"/>
  </si>
  <si>
    <t>霓裳花</t>
    <phoneticPr fontId="1" type="noConversion"/>
  </si>
  <si>
    <t>蒲公英种子</t>
    <phoneticPr fontId="1" type="noConversion"/>
  </si>
  <si>
    <t>塞西莉亚花</t>
    <phoneticPr fontId="1" type="noConversion"/>
  </si>
  <si>
    <t>清心</t>
    <phoneticPr fontId="1" type="noConversion"/>
  </si>
  <si>
    <t>坚牢黄玉</t>
    <phoneticPr fontId="1" type="noConversion"/>
  </si>
  <si>
    <t>玄岩之塔</t>
    <phoneticPr fontId="1" type="noConversion"/>
  </si>
  <si>
    <t>琉璃百合</t>
    <phoneticPr fontId="1" type="noConversion"/>
  </si>
  <si>
    <t>东风之翎</t>
    <phoneticPr fontId="1" type="noConversion"/>
  </si>
  <si>
    <t>北风之环</t>
    <phoneticPr fontId="1" type="noConversion"/>
  </si>
  <si>
    <t>北风之尾</t>
    <phoneticPr fontId="1" type="noConversion"/>
  </si>
  <si>
    <t>东风的吐息</t>
    <phoneticPr fontId="1" type="noConversion"/>
  </si>
  <si>
    <t>东风之爪</t>
    <phoneticPr fontId="1" type="noConversion"/>
  </si>
  <si>
    <t>北风的魂匣</t>
    <phoneticPr fontId="1" type="noConversion"/>
  </si>
  <si>
    <t>数量</t>
    <phoneticPr fontId="1" type="noConversion"/>
  </si>
  <si>
    <t>风鹰剑</t>
  </si>
  <si>
    <t>天空之刃</t>
  </si>
  <si>
    <t>匣里龙吟</t>
  </si>
  <si>
    <t>西风剑</t>
  </si>
  <si>
    <t>笛剑</t>
  </si>
  <si>
    <t>黑剑</t>
  </si>
  <si>
    <t>祭礼剑</t>
  </si>
  <si>
    <t>铁蜂刺</t>
  </si>
  <si>
    <t>试作斩岩</t>
  </si>
  <si>
    <t>宗室长剑</t>
  </si>
  <si>
    <t>星级</t>
    <phoneticPr fontId="1" type="noConversion"/>
  </si>
  <si>
    <t>狼的末路</t>
  </si>
  <si>
    <t>天空之傲</t>
  </si>
  <si>
    <t>试作古华</t>
  </si>
  <si>
    <t>宗室大剑</t>
  </si>
  <si>
    <t>螭骨剑</t>
  </si>
  <si>
    <t>白影剑</t>
  </si>
  <si>
    <t>西风大剑</t>
  </si>
  <si>
    <t>雨裁</t>
  </si>
  <si>
    <t>祭礼大剑</t>
  </si>
  <si>
    <t>钟剑</t>
  </si>
  <si>
    <t>和璞鸢</t>
  </si>
  <si>
    <t>天空之脊</t>
  </si>
  <si>
    <t>流月针</t>
  </si>
  <si>
    <t>试作星镰</t>
  </si>
  <si>
    <t>西风长枪</t>
  </si>
  <si>
    <t>匣里灭辰</t>
  </si>
  <si>
    <t>决斗之枪</t>
  </si>
  <si>
    <t>四风原典</t>
  </si>
  <si>
    <t>天空之卷</t>
  </si>
  <si>
    <t>西风秘典</t>
  </si>
  <si>
    <t>匣里日月</t>
  </si>
  <si>
    <t>祭礼残章</t>
  </si>
  <si>
    <t>试作金珀</t>
  </si>
  <si>
    <t>万国诸海图谱</t>
  </si>
  <si>
    <t>昭心</t>
  </si>
  <si>
    <t>流浪乐章</t>
  </si>
  <si>
    <t>宗室秘法录</t>
  </si>
  <si>
    <t>讨龙英杰谭</t>
  </si>
  <si>
    <t>天空之翼</t>
  </si>
  <si>
    <t>阿莫斯之弓</t>
  </si>
  <si>
    <t>绝弦</t>
  </si>
  <si>
    <t>苍翠猎弓</t>
  </si>
  <si>
    <t>祭礼弓</t>
  </si>
  <si>
    <t>西风猎弓</t>
  </si>
  <si>
    <t>宗室长弓</t>
  </si>
  <si>
    <t>钢轮弓</t>
  </si>
  <si>
    <t>试作澹月</t>
  </si>
  <si>
    <t>弓藏</t>
  </si>
  <si>
    <t>突破副本</t>
    <phoneticPr fontId="1" type="noConversion"/>
  </si>
  <si>
    <t>精英掉落</t>
    <phoneticPr fontId="1" type="noConversion"/>
  </si>
  <si>
    <t>普通掉落</t>
    <phoneticPr fontId="1" type="noConversion"/>
  </si>
  <si>
    <t>类型</t>
    <phoneticPr fontId="1" type="noConversion"/>
  </si>
  <si>
    <t>单手剑</t>
    <phoneticPr fontId="1" type="noConversion"/>
  </si>
  <si>
    <t>双手剑</t>
    <phoneticPr fontId="1" type="noConversion"/>
  </si>
  <si>
    <t>法器</t>
    <phoneticPr fontId="1" type="noConversion"/>
  </si>
  <si>
    <t>长柄武器</t>
    <phoneticPr fontId="1" type="noConversion"/>
  </si>
  <si>
    <t>弓</t>
    <phoneticPr fontId="1" type="noConversion"/>
  </si>
  <si>
    <t>暴击率</t>
    <phoneticPr fontId="1" type="noConversion"/>
  </si>
  <si>
    <t>攻击力</t>
    <phoneticPr fontId="1" type="noConversion"/>
  </si>
  <si>
    <t>元素充能效率</t>
    <phoneticPr fontId="1" type="noConversion"/>
  </si>
  <si>
    <t>元素精通</t>
    <phoneticPr fontId="1" type="noConversion"/>
  </si>
  <si>
    <t>治疗加成</t>
    <phoneticPr fontId="1" type="noConversion"/>
  </si>
  <si>
    <t>物理伤害加成</t>
    <phoneticPr fontId="1" type="noConversion"/>
  </si>
  <si>
    <t>突破属性</t>
    <phoneticPr fontId="1" type="noConversion"/>
  </si>
  <si>
    <t>暴击伤害</t>
    <phoneticPr fontId="1" type="noConversion"/>
  </si>
  <si>
    <t>雷元素伤害加成</t>
    <phoneticPr fontId="1" type="noConversion"/>
  </si>
  <si>
    <t>生命值</t>
    <phoneticPr fontId="1" type="noConversion"/>
  </si>
  <si>
    <t>风元素伤害加成</t>
    <phoneticPr fontId="1" type="noConversion"/>
  </si>
  <si>
    <t>防御力</t>
    <phoneticPr fontId="1" type="noConversion"/>
  </si>
  <si>
    <t>岩元素伤害加成</t>
    <phoneticPr fontId="1" type="noConversion"/>
  </si>
  <si>
    <t>活动道具</t>
    <phoneticPr fontId="1" type="noConversion"/>
  </si>
  <si>
    <t>智识之冕</t>
    <phoneticPr fontId="1" type="noConversion"/>
  </si>
  <si>
    <t>活动道具</t>
    <phoneticPr fontId="1" type="noConversion"/>
  </si>
  <si>
    <t>星级</t>
    <phoneticPr fontId="1" type="noConversion"/>
  </si>
  <si>
    <t>当前等级</t>
    <phoneticPr fontId="1" type="noConversion"/>
  </si>
  <si>
    <t>目标等级</t>
    <phoneticPr fontId="1" type="noConversion"/>
  </si>
  <si>
    <t>武器</t>
    <phoneticPr fontId="1" type="noConversion"/>
  </si>
  <si>
    <t>数量</t>
    <phoneticPr fontId="1" type="noConversion"/>
  </si>
  <si>
    <t>类别</t>
    <phoneticPr fontId="1" type="noConversion"/>
  </si>
  <si>
    <t>星螺</t>
    <phoneticPr fontId="1" type="noConversion"/>
  </si>
  <si>
    <t>精锻用魔矿</t>
    <phoneticPr fontId="1" type="noConversion"/>
  </si>
  <si>
    <t>精锻用杂矿</t>
    <phoneticPr fontId="1" type="noConversion"/>
  </si>
  <si>
    <t>精锻用良矿</t>
    <phoneticPr fontId="1" type="noConversion"/>
  </si>
  <si>
    <t>北风之环</t>
    <phoneticPr fontId="1" type="noConversion"/>
  </si>
  <si>
    <t>辛焱</t>
    <phoneticPr fontId="1" type="noConversion"/>
  </si>
  <si>
    <t>迪奥娜</t>
    <phoneticPr fontId="1" type="noConversion"/>
  </si>
  <si>
    <t>达达利亚</t>
    <phoneticPr fontId="1" type="noConversion"/>
  </si>
  <si>
    <t>钟离</t>
    <phoneticPr fontId="1" type="noConversion"/>
  </si>
  <si>
    <t>当前天赋1</t>
    <phoneticPr fontId="1" type="noConversion"/>
  </si>
  <si>
    <t>目标天赋1</t>
    <phoneticPr fontId="1" type="noConversion"/>
  </si>
  <si>
    <t>摩拉</t>
    <phoneticPr fontId="1" type="noConversion"/>
  </si>
  <si>
    <t>周期性</t>
    <phoneticPr fontId="1" type="noConversion"/>
  </si>
  <si>
    <t>周一/四</t>
    <phoneticPr fontId="1" type="noConversion"/>
  </si>
  <si>
    <t>周二/五</t>
    <phoneticPr fontId="1" type="noConversion"/>
  </si>
  <si>
    <t>周三/六</t>
    <phoneticPr fontId="1" type="noConversion"/>
  </si>
  <si>
    <t>升级摩拉</t>
    <phoneticPr fontId="1" type="noConversion"/>
  </si>
  <si>
    <t>数据来源</t>
    <phoneticPr fontId="1" type="noConversion"/>
  </si>
  <si>
    <t>1-40级：https://wiki.biligame.com/ys/%E5%86%92%E9%99%A9%E8%80%85%E9%98%85%E5%8E%86</t>
    <phoneticPr fontId="1" type="noConversion"/>
  </si>
  <si>
    <t>泥潭：https://bbs.nga.cn/read.php?tid=23770028</t>
    <phoneticPr fontId="1" type="noConversion"/>
  </si>
  <si>
    <t>B站wiki：https://wiki.biligame.com/ys/%E5%88%BB%E6%99%B4</t>
    <phoneticPr fontId="1" type="noConversion"/>
  </si>
  <si>
    <t>材料：https://wiki.biligame.com/ys/%E5%88%BB%E6%99%B4</t>
    <phoneticPr fontId="1" type="noConversion"/>
  </si>
  <si>
    <t>摩拉：米游社app - 养成计算器</t>
    <phoneticPr fontId="1" type="noConversion"/>
  </si>
  <si>
    <t>米游社：https://bbs.mihoyo.com/ys/article/2098324</t>
    <phoneticPr fontId="1" type="noConversion"/>
  </si>
  <si>
    <t>米游社app - 养成计算器</t>
    <phoneticPr fontId="1" type="noConversion"/>
  </si>
  <si>
    <t>游戏内数据</t>
    <phoneticPr fontId="1" type="noConversion"/>
  </si>
  <si>
    <t>圣遗物</t>
    <phoneticPr fontId="1" type="noConversion"/>
  </si>
  <si>
    <t>可莉：https://wiki.biligame.com/ys/%E5%8F%AF%E8%8E%89</t>
    <phoneticPr fontId="1" type="noConversion"/>
  </si>
  <si>
    <t>3星圣遗物</t>
    <phoneticPr fontId="1" type="noConversion"/>
  </si>
  <si>
    <t>4星圣遗物</t>
    <phoneticPr fontId="1" type="noConversion"/>
  </si>
  <si>
    <t>5星圣遗物</t>
    <phoneticPr fontId="1" type="noConversion"/>
  </si>
  <si>
    <t>1星圣遗物</t>
    <phoneticPr fontId="1" type="noConversion"/>
  </si>
  <si>
    <t>2星圣遗物</t>
    <phoneticPr fontId="1" type="noConversion"/>
  </si>
  <si>
    <t>空行下面的内容不会计算，可以作为暂存区，保存临时内容</t>
    <phoneticPr fontId="1" type="noConversion"/>
  </si>
  <si>
    <t>嘟嘟莲海鲜羹</t>
    <phoneticPr fontId="1" type="noConversion"/>
  </si>
  <si>
    <t>螃蟹</t>
    <phoneticPr fontId="1" type="noConversion"/>
  </si>
  <si>
    <t>嘟嘟莲</t>
    <phoneticPr fontId="1" type="noConversion"/>
  </si>
  <si>
    <t>薄荷</t>
    <phoneticPr fontId="1" type="noConversion"/>
  </si>
  <si>
    <t>防御</t>
    <phoneticPr fontId="1" type="noConversion"/>
  </si>
  <si>
    <t>诺艾尔</t>
    <phoneticPr fontId="1" type="noConversion"/>
  </si>
  <si>
    <t>魔王之刃·残片</t>
    <phoneticPr fontId="1" type="noConversion"/>
  </si>
  <si>
    <t>冰元素伤害加成</t>
    <phoneticPr fontId="1" type="noConversion"/>
  </si>
  <si>
    <t>火元素伤害加成</t>
    <phoneticPr fontId="1" type="noConversion"/>
  </si>
  <si>
    <t>水元素伤害加成</t>
    <phoneticPr fontId="1" type="noConversion"/>
  </si>
  <si>
    <t>吞天之鲸·只角</t>
    <phoneticPr fontId="1" type="noConversion"/>
  </si>
  <si>
    <t>武炼之魂·孤影</t>
    <phoneticPr fontId="1" type="noConversion"/>
  </si>
  <si>
    <t>黑岩长剑</t>
    <phoneticPr fontId="1" type="noConversion"/>
  </si>
  <si>
    <t>黑岩斩刀</t>
    <phoneticPr fontId="1" type="noConversion"/>
  </si>
  <si>
    <t>黑岩刺枪</t>
    <phoneticPr fontId="1" type="noConversion"/>
  </si>
  <si>
    <t>尘世之锁</t>
    <phoneticPr fontId="1" type="noConversion"/>
  </si>
  <si>
    <t>黑岩绯玉</t>
    <phoneticPr fontId="1" type="noConversion"/>
  </si>
  <si>
    <t>黑岩战弓</t>
    <phoneticPr fontId="1" type="noConversion"/>
  </si>
  <si>
    <t>吞天之鲸·只角</t>
  </si>
  <si>
    <t>攻击力</t>
    <phoneticPr fontId="1" type="noConversion"/>
  </si>
  <si>
    <t>武炼之魂·孤影</t>
  </si>
  <si>
    <t>甘雨</t>
    <phoneticPr fontId="1" type="noConversion"/>
  </si>
  <si>
    <t>冰</t>
    <phoneticPr fontId="1" type="noConversion"/>
  </si>
  <si>
    <t>阿贝多</t>
    <phoneticPr fontId="1" type="noConversion"/>
  </si>
  <si>
    <t>罗莎莉娅</t>
    <phoneticPr fontId="1" type="noConversion"/>
  </si>
  <si>
    <t>神里绫华</t>
    <phoneticPr fontId="1" type="noConversion"/>
  </si>
  <si>
    <t>40级+：https://bbs.nga.cn/read.php?tid=24080633</t>
    <phoneticPr fontId="1" type="noConversion"/>
  </si>
  <si>
    <t>1-80级详细数据 by lsnowaim</t>
    <phoneticPr fontId="1" type="noConversion"/>
  </si>
  <si>
    <t>81-90级详细数据 by ArcticRug25</t>
    <phoneticPr fontId="1" type="noConversion"/>
  </si>
  <si>
    <t>突破摩拉</t>
    <phoneticPr fontId="1" type="noConversion"/>
  </si>
  <si>
    <t>辅助列</t>
    <phoneticPr fontId="1" type="noConversion"/>
  </si>
  <si>
    <t>20+</t>
    <phoneticPr fontId="1" type="noConversion"/>
  </si>
  <si>
    <t>40+</t>
    <phoneticPr fontId="1" type="noConversion"/>
  </si>
  <si>
    <t>50+</t>
    <phoneticPr fontId="1" type="noConversion"/>
  </si>
  <si>
    <t>60+</t>
    <phoneticPr fontId="1" type="noConversion"/>
  </si>
  <si>
    <t>70+</t>
    <phoneticPr fontId="1" type="noConversion"/>
  </si>
  <si>
    <t>80+</t>
    <phoneticPr fontId="1" type="noConversion"/>
  </si>
  <si>
    <t>需求数量</t>
    <phoneticPr fontId="1" type="noConversion"/>
  </si>
  <si>
    <t>缺口数量</t>
    <phoneticPr fontId="1" type="noConversion"/>
  </si>
  <si>
    <t>需求来源</t>
    <phoneticPr fontId="1" type="noConversion"/>
  </si>
  <si>
    <t>来源数量</t>
    <phoneticPr fontId="1" type="noConversion"/>
  </si>
  <si>
    <t>到55级</t>
    <phoneticPr fontId="1" type="noConversion"/>
  </si>
  <si>
    <t>每日</t>
    <phoneticPr fontId="1" type="noConversion"/>
  </si>
  <si>
    <t>周数</t>
    <phoneticPr fontId="1" type="noConversion"/>
  </si>
  <si>
    <t>需要天数</t>
    <phoneticPr fontId="1" type="noConversion"/>
  </si>
  <si>
    <t>单手剑</t>
    <phoneticPr fontId="1" type="noConversion"/>
  </si>
  <si>
    <t>斫峰之刃</t>
    <phoneticPr fontId="1" type="noConversion"/>
  </si>
  <si>
    <t>孤云寒林</t>
    <phoneticPr fontId="1" type="noConversion"/>
  </si>
  <si>
    <t>腐殖之剑</t>
    <phoneticPr fontId="1" type="noConversion"/>
  </si>
  <si>
    <t>黎明神剑</t>
    <phoneticPr fontId="1" type="noConversion"/>
  </si>
  <si>
    <t>旅行剑</t>
    <phoneticPr fontId="1" type="noConversion"/>
  </si>
  <si>
    <t>暗铁剑</t>
    <phoneticPr fontId="1" type="noConversion"/>
  </si>
  <si>
    <t>吃虎鱼刀</t>
    <phoneticPr fontId="1" type="noConversion"/>
  </si>
  <si>
    <t>飞天御剑</t>
    <phoneticPr fontId="1" type="noConversion"/>
  </si>
  <si>
    <t>冷刃</t>
    <phoneticPr fontId="1" type="noConversion"/>
  </si>
  <si>
    <t>无工之剑</t>
    <phoneticPr fontId="1" type="noConversion"/>
  </si>
  <si>
    <t>雪葬的星银</t>
    <phoneticPr fontId="1" type="noConversion"/>
  </si>
  <si>
    <t>沐浴龙血的剑</t>
    <phoneticPr fontId="1" type="noConversion"/>
  </si>
  <si>
    <t>白铁大剑</t>
    <phoneticPr fontId="1" type="noConversion"/>
  </si>
  <si>
    <t>以理服人</t>
    <phoneticPr fontId="1" type="noConversion"/>
  </si>
  <si>
    <t>飞天大御剑</t>
    <phoneticPr fontId="1" type="noConversion"/>
  </si>
  <si>
    <t>铁影阔剑</t>
    <phoneticPr fontId="1" type="noConversion"/>
  </si>
  <si>
    <t>贯虹之槊</t>
    <phoneticPr fontId="1" type="noConversion"/>
  </si>
  <si>
    <t>宗室猎枪</t>
    <phoneticPr fontId="1" type="noConversion"/>
  </si>
  <si>
    <t>龙脊长枪</t>
    <phoneticPr fontId="1" type="noConversion"/>
  </si>
  <si>
    <t>雾虚</t>
  </si>
  <si>
    <t>白缨枪</t>
    <phoneticPr fontId="1" type="noConversion"/>
  </si>
  <si>
    <t>黑缨枪</t>
    <phoneticPr fontId="1" type="noConversion"/>
  </si>
  <si>
    <t>钺矛</t>
    <phoneticPr fontId="1" type="noConversion"/>
  </si>
  <si>
    <t>忍冬之果</t>
    <phoneticPr fontId="1" type="noConversion"/>
  </si>
  <si>
    <t>异世界行记</t>
    <phoneticPr fontId="1" type="noConversion"/>
  </si>
  <si>
    <t>甲级宝珏</t>
    <phoneticPr fontId="1" type="noConversion"/>
  </si>
  <si>
    <t>翡玉法球</t>
    <phoneticPr fontId="1" type="noConversion"/>
  </si>
  <si>
    <t>魔导绪论</t>
    <phoneticPr fontId="1" type="noConversion"/>
  </si>
  <si>
    <t>信使</t>
    <phoneticPr fontId="1" type="noConversion"/>
  </si>
  <si>
    <t>神射手之誓</t>
    <phoneticPr fontId="1" type="noConversion"/>
  </si>
  <si>
    <t>鸦羽弓</t>
    <phoneticPr fontId="1" type="noConversion"/>
  </si>
  <si>
    <t>弹弓</t>
    <phoneticPr fontId="1" type="noConversion"/>
  </si>
  <si>
    <t>反曲弓</t>
    <phoneticPr fontId="1" type="noConversion"/>
  </si>
  <si>
    <t>胡桃</t>
    <phoneticPr fontId="1" type="noConversion"/>
  </si>
  <si>
    <t>火</t>
    <phoneticPr fontId="1" type="noConversion"/>
  </si>
  <si>
    <t>暴击伤害</t>
    <phoneticPr fontId="1" type="noConversion"/>
  </si>
  <si>
    <t>磐岩结绿</t>
  </si>
  <si>
    <t>护摩之杖</t>
  </si>
  <si>
    <t>未熟之玉</t>
    <phoneticPr fontId="1" type="noConversion"/>
  </si>
  <si>
    <t>未熟之玉</t>
    <phoneticPr fontId="1" type="noConversion"/>
  </si>
  <si>
    <t>千岩长枪</t>
    <phoneticPr fontId="1" type="noConversion"/>
  </si>
  <si>
    <t>千岩古剑</t>
    <phoneticPr fontId="1" type="noConversion"/>
  </si>
  <si>
    <t>终末嗟叹之诗</t>
    <phoneticPr fontId="1" type="noConversion"/>
  </si>
  <si>
    <t>暗巷闪光</t>
    <phoneticPr fontId="1" type="noConversion"/>
  </si>
  <si>
    <t>暗巷的酒与诗</t>
    <phoneticPr fontId="1" type="noConversion"/>
  </si>
  <si>
    <t>暗巷猎手</t>
  </si>
  <si>
    <t>风花之颂</t>
    <phoneticPr fontId="1" type="noConversion"/>
  </si>
  <si>
    <t>冰</t>
    <phoneticPr fontId="1" type="noConversion"/>
  </si>
  <si>
    <t>抗争</t>
    <phoneticPr fontId="1" type="noConversion"/>
  </si>
  <si>
    <t>诺艾尔</t>
  </si>
  <si>
    <t>诺艾尔圣遗物</t>
  </si>
  <si>
    <t>芭芭拉</t>
  </si>
  <si>
    <t>芭芭拉圣遗物</t>
  </si>
  <si>
    <t>琴</t>
  </si>
  <si>
    <t>腐殖之剑</t>
  </si>
  <si>
    <t>琴圣遗物</t>
  </si>
  <si>
    <t>安柏</t>
  </si>
  <si>
    <t>安柏圣遗物</t>
  </si>
  <si>
    <t>七七</t>
  </si>
  <si>
    <t>七七圣遗物</t>
  </si>
  <si>
    <t>香菱</t>
  </si>
  <si>
    <t>香菱圣遗物</t>
  </si>
  <si>
    <t>菲谢尔</t>
  </si>
  <si>
    <t>菲谢尔圣遗物</t>
  </si>
  <si>
    <t>温迪</t>
  </si>
  <si>
    <t>温迪圣遗物</t>
  </si>
  <si>
    <t>行秋</t>
  </si>
  <si>
    <t>行秋圣遗物</t>
  </si>
  <si>
    <t>砂糖</t>
  </si>
  <si>
    <t>砂糖圣遗物</t>
  </si>
  <si>
    <t>雷泽</t>
  </si>
  <si>
    <t>雷泽圣遗物</t>
  </si>
  <si>
    <t>迪奥娜</t>
  </si>
  <si>
    <t>迪奥娜圣遗物</t>
  </si>
  <si>
    <t>莫娜</t>
  </si>
  <si>
    <t>莫娜圣遗物</t>
  </si>
  <si>
    <t>凝光</t>
  </si>
  <si>
    <t>凝光圣遗物</t>
  </si>
  <si>
    <t>甘雨</t>
  </si>
  <si>
    <t>甘雨圣遗物</t>
  </si>
  <si>
    <t>胡桃</t>
  </si>
  <si>
    <t>胡桃圣遗物</t>
  </si>
  <si>
    <t>血玉之枝</t>
    <phoneticPr fontId="1" type="noConversion"/>
  </si>
  <si>
    <t>烟绯</t>
    <phoneticPr fontId="1" type="noConversion"/>
  </si>
  <si>
    <t>优菈</t>
    <phoneticPr fontId="1" type="noConversion"/>
  </si>
  <si>
    <t>晶凝之华</t>
    <phoneticPr fontId="1" type="noConversion"/>
  </si>
  <si>
    <t>龙王之冕</t>
    <phoneticPr fontId="1" type="noConversion"/>
  </si>
  <si>
    <t>烟绯圣遗物</t>
    <phoneticPr fontId="1" type="noConversion"/>
  </si>
  <si>
    <t>好了</t>
  </si>
  <si>
    <t>神里圣遗物</t>
    <phoneticPr fontId="1" type="noConversion"/>
  </si>
  <si>
    <t>神里绫华突破</t>
  </si>
  <si>
    <t>未实装角色：https://genshin.honeyhunterworld.com/db/char/unreleased-and-upcoming-characters/</t>
    <phoneticPr fontId="1" type="noConversion"/>
  </si>
  <si>
    <t>鎏金之鳞</t>
    <phoneticPr fontId="1" type="noConversion"/>
  </si>
  <si>
    <t>6（可合成6）</t>
  </si>
  <si>
    <t>恒常机关之心</t>
    <phoneticPr fontId="1" type="noConversion"/>
  </si>
  <si>
    <t>绯樱绣球</t>
    <phoneticPr fontId="1" type="noConversion"/>
  </si>
  <si>
    <t>名刀镡</t>
    <phoneticPr fontId="1" type="noConversion"/>
  </si>
  <si>
    <t>刀镡</t>
    <phoneticPr fontId="1" type="noConversion"/>
  </si>
  <si>
    <t>破旧的刀镡</t>
    <phoneticPr fontId="1" type="noConversion"/>
  </si>
  <si>
    <t>影打刀镡</t>
    <phoneticPr fontId="1" type="noConversion"/>
  </si>
  <si>
    <t>风雅</t>
    <phoneticPr fontId="1" type="noConversion"/>
  </si>
  <si>
    <t>魔偶机心</t>
    <phoneticPr fontId="1" type="noConversion"/>
  </si>
  <si>
    <t>海灵芝</t>
    <phoneticPr fontId="1" type="noConversion"/>
  </si>
  <si>
    <t>宵宫</t>
    <phoneticPr fontId="1" type="noConversion"/>
  </si>
  <si>
    <t>阴燃之珠</t>
    <phoneticPr fontId="1" type="noConversion"/>
  </si>
  <si>
    <t>鸣草</t>
    <phoneticPr fontId="1" type="noConversion"/>
  </si>
  <si>
    <t>浮世</t>
    <phoneticPr fontId="1" type="noConversion"/>
  </si>
  <si>
    <t>早柚</t>
    <phoneticPr fontId="1" type="noConversion"/>
  </si>
  <si>
    <t>晶化骨髓</t>
    <phoneticPr fontId="1" type="noConversion"/>
  </si>
  <si>
    <t>天光</t>
    <phoneticPr fontId="1" type="noConversion"/>
  </si>
  <si>
    <t>枫原万叶</t>
    <phoneticPr fontId="1" type="noConversion"/>
  </si>
  <si>
    <t>天目影打刀</t>
    <phoneticPr fontId="1" type="noConversion"/>
  </si>
  <si>
    <t>机兵</t>
  </si>
  <si>
    <t>机兵</t>
    <phoneticPr fontId="1" type="noConversion"/>
  </si>
  <si>
    <t>混沌机关</t>
    <phoneticPr fontId="1" type="noConversion"/>
  </si>
  <si>
    <t>混沌枢纽</t>
    <phoneticPr fontId="1" type="noConversion"/>
  </si>
  <si>
    <t>混沌真眼</t>
    <phoneticPr fontId="1" type="noConversion"/>
  </si>
  <si>
    <t>苍古自由之誓</t>
    <phoneticPr fontId="1" type="noConversion"/>
  </si>
  <si>
    <t>雾切之回光</t>
    <phoneticPr fontId="1" type="noConversion"/>
  </si>
  <si>
    <t>松籁响起之时</t>
    <phoneticPr fontId="1" type="noConversion"/>
  </si>
  <si>
    <t>桂木斩长正</t>
    <phoneticPr fontId="1" type="noConversion"/>
  </si>
  <si>
    <t>鸣神御灵</t>
    <phoneticPr fontId="1" type="noConversion"/>
  </si>
  <si>
    <t>鸣神御灵的勇武</t>
    <phoneticPr fontId="1" type="noConversion"/>
  </si>
  <si>
    <t>鸣神御灵的亲爱</t>
    <phoneticPr fontId="1" type="noConversion"/>
  </si>
  <si>
    <t>鸣神御灵的欢喜</t>
    <phoneticPr fontId="1" type="noConversion"/>
  </si>
  <si>
    <t>鸣神御灵的明惠</t>
    <phoneticPr fontId="1" type="noConversion"/>
  </si>
  <si>
    <t>棱镜</t>
  </si>
  <si>
    <t>棱镜</t>
    <phoneticPr fontId="1" type="noConversion"/>
  </si>
  <si>
    <t>偏光棱镜</t>
    <phoneticPr fontId="1" type="noConversion"/>
  </si>
  <si>
    <t>黯淡棱镜</t>
    <phoneticPr fontId="1" type="noConversion"/>
  </si>
  <si>
    <t>喜多院十文字</t>
    <phoneticPr fontId="1" type="noConversion"/>
  </si>
  <si>
    <t>今昔剧画</t>
    <phoneticPr fontId="1" type="noConversion"/>
  </si>
  <si>
    <t>今昔剧画之鬼人</t>
    <phoneticPr fontId="1" type="noConversion"/>
  </si>
  <si>
    <t>今昔剧画之一角</t>
    <phoneticPr fontId="1" type="noConversion"/>
  </si>
  <si>
    <t>今昔剧画之虎啮</t>
    <phoneticPr fontId="1" type="noConversion"/>
  </si>
  <si>
    <t>今昔剧画之恶尉</t>
    <phoneticPr fontId="1" type="noConversion"/>
  </si>
  <si>
    <t>幽夜华尔兹</t>
    <phoneticPr fontId="1" type="noConversion"/>
  </si>
  <si>
    <t>破魔之弓</t>
    <phoneticPr fontId="1" type="noConversion"/>
  </si>
  <si>
    <t>飞雷之弦振</t>
    <phoneticPr fontId="1" type="noConversion"/>
  </si>
  <si>
    <t>嘟嘟可故事集</t>
    <phoneticPr fontId="1" type="noConversion"/>
  </si>
  <si>
    <t>白辰之环</t>
    <phoneticPr fontId="1" type="noConversion"/>
  </si>
  <si>
    <t>神里绫华天赋</t>
  </si>
  <si>
    <t>水晶棱镜</t>
    <phoneticPr fontId="1" type="noConversion"/>
  </si>
  <si>
    <t>当前天赋2</t>
    <phoneticPr fontId="1" type="noConversion"/>
  </si>
  <si>
    <t>当前天赋3</t>
    <phoneticPr fontId="1" type="noConversion"/>
  </si>
  <si>
    <t>目标天赋2</t>
    <phoneticPr fontId="1" type="noConversion"/>
  </si>
  <si>
    <t>目标天赋3</t>
    <phoneticPr fontId="1" type="noConversion"/>
  </si>
  <si>
    <t>未实装武器：https://genshin.honeyhunterworld.com/db/weapon/</t>
    <phoneticPr fontId="1" type="noConversion"/>
  </si>
  <si>
    <t>角色攻击</t>
    <phoneticPr fontId="1" type="noConversion"/>
  </si>
  <si>
    <t>角色</t>
    <phoneticPr fontId="1" type="noConversion"/>
  </si>
  <si>
    <t>攻击白值</t>
    <phoneticPr fontId="1" type="noConversion"/>
  </si>
  <si>
    <t>攻击绿值</t>
    <phoneticPr fontId="1" type="noConversion"/>
  </si>
  <si>
    <t>主词条</t>
    <phoneticPr fontId="1" type="noConversion"/>
  </si>
  <si>
    <t>生命</t>
    <phoneticPr fontId="1" type="noConversion"/>
  </si>
  <si>
    <t>花</t>
    <phoneticPr fontId="1" type="noConversion"/>
  </si>
  <si>
    <t>位置</t>
    <phoneticPr fontId="1" type="noConversion"/>
  </si>
  <si>
    <t>值</t>
    <phoneticPr fontId="1" type="noConversion"/>
  </si>
  <si>
    <t>羽毛</t>
    <phoneticPr fontId="1" type="noConversion"/>
  </si>
  <si>
    <t>时计</t>
    <phoneticPr fontId="1" type="noConversion"/>
  </si>
  <si>
    <t>杯子</t>
    <phoneticPr fontId="1" type="noConversion"/>
  </si>
  <si>
    <t>头</t>
    <phoneticPr fontId="1" type="noConversion"/>
  </si>
  <si>
    <t>攻击%</t>
  </si>
  <si>
    <t>攻击%</t>
    <phoneticPr fontId="1" type="noConversion"/>
  </si>
  <si>
    <t>生命%</t>
    <phoneticPr fontId="1" type="noConversion"/>
  </si>
  <si>
    <t>防御%</t>
  </si>
  <si>
    <t>防御%</t>
    <phoneticPr fontId="1" type="noConversion"/>
  </si>
  <si>
    <t>暴击</t>
    <phoneticPr fontId="1" type="noConversion"/>
  </si>
  <si>
    <t>副词条</t>
    <phoneticPr fontId="1" type="noConversion"/>
  </si>
  <si>
    <t>平均值</t>
    <phoneticPr fontId="1" type="noConversion"/>
  </si>
  <si>
    <t>最小值</t>
    <phoneticPr fontId="1" type="noConversion"/>
  </si>
  <si>
    <t>最大值</t>
    <phoneticPr fontId="1" type="noConversion"/>
  </si>
  <si>
    <t>可能的主词条</t>
    <phoneticPr fontId="1" type="noConversion"/>
  </si>
  <si>
    <t>条数</t>
    <phoneticPr fontId="1" type="noConversion"/>
  </si>
  <si>
    <t>总条数</t>
    <phoneticPr fontId="1" type="noConversion"/>
  </si>
  <si>
    <t>圣遗物套装</t>
    <phoneticPr fontId="1" type="noConversion"/>
  </si>
  <si>
    <t>充能效率%</t>
    <phoneticPr fontId="1" type="noConversion"/>
  </si>
  <si>
    <t>物理伤害%</t>
    <phoneticPr fontId="1" type="noConversion"/>
  </si>
  <si>
    <t>元素伤害%</t>
    <phoneticPr fontId="1" type="noConversion"/>
  </si>
  <si>
    <t>暴击%</t>
    <phoneticPr fontId="1" type="noConversion"/>
  </si>
  <si>
    <t>爆伤%</t>
    <phoneticPr fontId="1" type="noConversion"/>
  </si>
  <si>
    <t>治疗加成%</t>
    <phoneticPr fontId="1" type="noConversion"/>
  </si>
  <si>
    <t>元素共鸣</t>
    <phoneticPr fontId="1" type="noConversion"/>
  </si>
  <si>
    <t>攻击力%</t>
    <phoneticPr fontId="1" type="noConversion"/>
  </si>
  <si>
    <t>共鸣效果</t>
    <phoneticPr fontId="1" type="noConversion"/>
  </si>
  <si>
    <t>双火</t>
    <phoneticPr fontId="1" type="noConversion"/>
  </si>
  <si>
    <t>双水</t>
    <phoneticPr fontId="1" type="noConversion"/>
  </si>
  <si>
    <t>加伤%</t>
    <phoneticPr fontId="1" type="noConversion"/>
  </si>
  <si>
    <t>减抗%</t>
    <phoneticPr fontId="1" type="noConversion"/>
  </si>
  <si>
    <t>双岩</t>
    <phoneticPr fontId="1" type="noConversion"/>
  </si>
  <si>
    <t>双冰</t>
    <phoneticPr fontId="1" type="noConversion"/>
  </si>
  <si>
    <t>加成系数%</t>
    <phoneticPr fontId="1" type="noConversion"/>
  </si>
  <si>
    <t>面板攻击</t>
    <phoneticPr fontId="1" type="noConversion"/>
  </si>
  <si>
    <t>攻击绿值_触发</t>
    <phoneticPr fontId="1" type="noConversion"/>
  </si>
  <si>
    <t>面板攻击_触发</t>
    <phoneticPr fontId="1" type="noConversion"/>
  </si>
  <si>
    <t>逆推角色属性</t>
    <phoneticPr fontId="1" type="noConversion"/>
  </si>
  <si>
    <t>攻击%4</t>
    <phoneticPr fontId="1" type="noConversion"/>
  </si>
  <si>
    <t>生命%4</t>
    <phoneticPr fontId="1" type="noConversion"/>
  </si>
  <si>
    <t>防御%4</t>
    <phoneticPr fontId="1" type="noConversion"/>
  </si>
  <si>
    <t>暴击%5</t>
    <phoneticPr fontId="1" type="noConversion"/>
  </si>
  <si>
    <t>爆伤%5</t>
    <phoneticPr fontId="1" type="noConversion"/>
  </si>
  <si>
    <t>元素伤害%4</t>
    <phoneticPr fontId="1" type="noConversion"/>
  </si>
  <si>
    <t>元素精通4</t>
    <phoneticPr fontId="1" type="noConversion"/>
  </si>
  <si>
    <t>充能效率%4</t>
    <phoneticPr fontId="1" type="noConversion"/>
  </si>
  <si>
    <t>元素伤害%5</t>
    <phoneticPr fontId="1" type="noConversion"/>
  </si>
  <si>
    <t>治疗加成%5</t>
    <phoneticPr fontId="1" type="noConversion"/>
  </si>
  <si>
    <t>物理伤害%4</t>
    <phoneticPr fontId="1" type="noConversion"/>
  </si>
  <si>
    <t>充能效率%5</t>
    <phoneticPr fontId="1" type="noConversion"/>
  </si>
  <si>
    <t>元素精通5</t>
    <phoneticPr fontId="1" type="noConversion"/>
  </si>
  <si>
    <t>攻击_特效%</t>
    <phoneticPr fontId="1" type="noConversion"/>
  </si>
  <si>
    <t>元素伤害_特效%</t>
    <phoneticPr fontId="1" type="noConversion"/>
  </si>
  <si>
    <t>伤害乘区</t>
    <phoneticPr fontId="1" type="noConversion"/>
  </si>
  <si>
    <t>段数</t>
    <phoneticPr fontId="1" type="noConversion"/>
  </si>
  <si>
    <t>技能</t>
    <phoneticPr fontId="1" type="noConversion"/>
  </si>
  <si>
    <t>未暴击</t>
    <phoneticPr fontId="1" type="noConversion"/>
  </si>
  <si>
    <t>期望</t>
    <phoneticPr fontId="1" type="noConversion"/>
  </si>
  <si>
    <t>伤害结果</t>
    <phoneticPr fontId="1" type="noConversion"/>
  </si>
  <si>
    <t>计算圣遗物副词条</t>
    <phoneticPr fontId="1" type="noConversion"/>
  </si>
  <si>
    <t>无</t>
    <phoneticPr fontId="1" type="noConversion"/>
  </si>
  <si>
    <t>攻击区</t>
  </si>
  <si>
    <t>增伤区</t>
  </si>
  <si>
    <t>反应区</t>
  </si>
  <si>
    <t>防御区</t>
  </si>
  <si>
    <t>技能倍率%</t>
    <phoneticPr fontId="1" type="noConversion"/>
  </si>
  <si>
    <t>总倍率%</t>
    <phoneticPr fontId="1" type="noConversion"/>
  </si>
  <si>
    <t>附加倍率%</t>
    <phoneticPr fontId="1" type="noConversion"/>
  </si>
  <si>
    <t>倍率加成%</t>
    <phoneticPr fontId="1" type="noConversion"/>
  </si>
  <si>
    <t>增伤%</t>
    <phoneticPr fontId="1" type="noConversion"/>
  </si>
  <si>
    <t>增伤_特效%</t>
    <phoneticPr fontId="1" type="noConversion"/>
  </si>
  <si>
    <t>暴击区_暴击</t>
    <phoneticPr fontId="1" type="noConversion"/>
  </si>
  <si>
    <t>暴击区_未暴击</t>
    <phoneticPr fontId="1" type="noConversion"/>
  </si>
  <si>
    <t>暴击区_期望</t>
    <phoneticPr fontId="1" type="noConversion"/>
  </si>
  <si>
    <t>倍率区</t>
    <phoneticPr fontId="1" type="noConversion"/>
  </si>
  <si>
    <t>减防_特效%</t>
    <phoneticPr fontId="1" type="noConversion"/>
  </si>
  <si>
    <t>角色/怪物属性</t>
    <phoneticPr fontId="1" type="noConversion"/>
  </si>
  <si>
    <t>角色等级</t>
    <phoneticPr fontId="1" type="noConversion"/>
  </si>
  <si>
    <t>怪物等级</t>
    <phoneticPr fontId="1" type="noConversion"/>
  </si>
  <si>
    <t>抗性区</t>
    <phoneticPr fontId="1" type="noConversion"/>
  </si>
  <si>
    <t>怪物初始抗性%</t>
    <phoneticPr fontId="1" type="noConversion"/>
  </si>
  <si>
    <t>怪物最终抗性%</t>
    <phoneticPr fontId="1" type="noConversion"/>
  </si>
  <si>
    <t>减抗_特效%</t>
    <phoneticPr fontId="1" type="noConversion"/>
  </si>
  <si>
    <t>属性简称</t>
    <phoneticPr fontId="1" type="noConversion"/>
  </si>
  <si>
    <t>手动计算伤害结果</t>
    <phoneticPr fontId="1" type="noConversion"/>
  </si>
  <si>
    <t>暴击率%</t>
    <phoneticPr fontId="1" type="noConversion"/>
  </si>
  <si>
    <t>暴击伤害%</t>
    <phoneticPr fontId="1" type="noConversion"/>
  </si>
  <si>
    <t>角色增伤%</t>
    <phoneticPr fontId="1" type="noConversion"/>
  </si>
  <si>
    <t>武器增伤%</t>
    <phoneticPr fontId="1" type="noConversion"/>
  </si>
  <si>
    <t>圣遗物增伤%</t>
    <phoneticPr fontId="1" type="noConversion"/>
  </si>
  <si>
    <t>减防%</t>
    <phoneticPr fontId="1" type="noConversion"/>
  </si>
  <si>
    <t>手动计算区_共用角色/怪物属性和技能</t>
    <phoneticPr fontId="1" type="noConversion"/>
  </si>
  <si>
    <t>嘟嘟可故事集</t>
  </si>
  <si>
    <t>神里绫华升级</t>
  </si>
  <si>
    <t>5（可合成5）</t>
  </si>
  <si>
    <t>雾切之回光</t>
  </si>
  <si>
    <t>雾切之回光突破</t>
  </si>
  <si>
    <t>神里绫华突破
神里绫华天赋
雾切之回光突破</t>
    <phoneticPr fontId="1" type="noConversion"/>
  </si>
  <si>
    <t>18
18
15</t>
    <phoneticPr fontId="1" type="noConversion"/>
  </si>
  <si>
    <t>30
66
23</t>
    <phoneticPr fontId="1" type="noConversion"/>
  </si>
  <si>
    <t>12
57
27</t>
    <phoneticPr fontId="1" type="noConversion"/>
  </si>
  <si>
    <t>总属性数</t>
    <phoneticPr fontId="1" type="noConversion"/>
  </si>
  <si>
    <t>目标差值</t>
    <phoneticPr fontId="1" type="noConversion"/>
  </si>
  <si>
    <t>雾切之回光升级</t>
  </si>
  <si>
    <t>神里绫华升级
神里绫华天赋
雾切之回光升级</t>
    <phoneticPr fontId="1" type="noConversion"/>
  </si>
  <si>
    <t>2092530
2857500
1131445</t>
    <phoneticPr fontId="1" type="noConversion"/>
  </si>
  <si>
    <t>暴击%</t>
  </si>
  <si>
    <t>动态规划</t>
    <phoneticPr fontId="1" type="noConversion"/>
  </si>
  <si>
    <t>攻击收益</t>
  </si>
  <si>
    <t>暴击收益</t>
  </si>
  <si>
    <t>爆伤收益</t>
  </si>
  <si>
    <t>bilibili@讲故事的勺子啊啊啊：https://www.bilibili.com/video/BV1aa4y1s7a3</t>
    <phoneticPr fontId="1" type="noConversion"/>
  </si>
  <si>
    <t>nga《伤害乘区论》2.0并转引其参考文献：https://nga.178.com/read.php?tid=25564438</t>
    <phoneticPr fontId="1" type="noConversion"/>
  </si>
  <si>
    <t>元素伤害%</t>
  </si>
  <si>
    <t>汇总面板</t>
    <phoneticPr fontId="1" type="noConversion"/>
  </si>
  <si>
    <t>NGA《圣遗物数值学导论》并转引其参考文献：https://nga.178.com/read.php?tid=24270728</t>
    <phoneticPr fontId="1" type="noConversion"/>
  </si>
  <si>
    <t>次数估计</t>
    <phoneticPr fontId="1" type="noConversion"/>
  </si>
  <si>
    <t>世界等级</t>
    <phoneticPr fontId="1" type="noConversion"/>
  </si>
  <si>
    <t>掉落期望</t>
    <phoneticPr fontId="1" type="noConversion"/>
  </si>
  <si>
    <t>Data Gathering Discord Server：https://docs.google.com/spreadsheets/d/1RcuniapqS6nOP05OCH0ui10Vo3bWu0AvFbhgcHzTybY/edit#gid=2061598189</t>
    <phoneticPr fontId="1" type="noConversion"/>
  </si>
  <si>
    <t>武器突破</t>
    <phoneticPr fontId="1" type="noConversion"/>
  </si>
  <si>
    <t>无</t>
  </si>
  <si>
    <t>树脂估计</t>
    <phoneticPr fontId="1" type="noConversion"/>
  </si>
  <si>
    <t>58（可合成13）</t>
    <phoneticPr fontId="1" type="noConversion"/>
  </si>
  <si>
    <t>外海夷地</t>
    <phoneticPr fontId="1" type="noConversion"/>
  </si>
  <si>
    <t>外海夷地的金枝</t>
    <phoneticPr fontId="1" type="noConversion"/>
  </si>
  <si>
    <t>外海夷地的琼枝</t>
    <phoneticPr fontId="1" type="noConversion"/>
  </si>
  <si>
    <t>外海夷地的玉枝</t>
    <phoneticPr fontId="1" type="noConversion"/>
  </si>
  <si>
    <t>外海夷地的瑚枝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</si>
</sst>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_ "/>
    <numFmt numFmtId="178" formatCode="0.0_ "/>
    <numFmt numFmtId="179" formatCode="000000"/>
  </numFmts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等线"/>
      <family val="3"/>
      <charset val="134"/>
      <scheme val="minor"/>
    </font>
    <font>
      <b/>
      <sz val="11"/>
      <color theme="0"/>
      <name val="微软雅黑"/>
      <family val="2"/>
      <charset val="134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8"/>
      <color indexed="81"/>
      <name val="微软雅黑"/>
      <family val="2"/>
      <charset val="134"/>
    </font>
    <font>
      <sz val="9"/>
      <color rgb="FF10273F"/>
      <name val="Verdana"/>
      <family val="2"/>
    </font>
    <font>
      <sz val="9"/>
      <color rgb="FF10273F"/>
      <name val="Verdana"/>
      <family val="2"/>
      <charset val="134"/>
    </font>
    <font>
      <sz val="11"/>
      <name val="微软雅黑"/>
      <family val="2"/>
      <charset val="134"/>
    </font>
    <font>
      <sz val="14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6"/>
      <color rgb="FFFF6699"/>
      <name val="微软雅黑"/>
      <family val="2"/>
      <charset val="134"/>
    </font>
    <font>
      <b/>
      <u/>
      <sz val="9"/>
      <color indexed="81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F0C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/>
      <right/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/>
      <top/>
      <bottom style="thick">
        <color theme="4"/>
      </bottom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/>
  </cellStyleXfs>
  <cellXfs count="50">
    <xf numFmtId="0" fontId="0" fillId="0" borderId="0" xfId="0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applyFont="1"/>
    <xf numFmtId="0" fontId="5" fillId="2" borderId="0" xfId="1" applyFont="1" applyAlignment="1">
      <alignment horizontal="center" vertical="center"/>
    </xf>
    <xf numFmtId="0" fontId="5" fillId="2" borderId="0" xfId="1" applyFont="1" applyAlignment="1">
      <alignment horizontal="left" vertical="center"/>
    </xf>
    <xf numFmtId="0" fontId="3" fillId="3" borderId="0" xfId="2" applyAlignment="1">
      <alignment horizontal="left"/>
    </xf>
    <xf numFmtId="0" fontId="3" fillId="3" borderId="0" xfId="2" applyAlignment="1">
      <alignment horizontal="center"/>
    </xf>
    <xf numFmtId="0" fontId="3" fillId="3" borderId="0" xfId="2" applyAlignment="1"/>
    <xf numFmtId="0" fontId="6" fillId="2" borderId="0" xfId="1" applyFont="1" applyAlignment="1">
      <alignment horizontal="left" vertical="center"/>
    </xf>
    <xf numFmtId="0" fontId="6" fillId="2" borderId="0" xfId="1" applyFont="1" applyAlignment="1">
      <alignment horizontal="center" vertical="center"/>
    </xf>
    <xf numFmtId="0" fontId="4" fillId="0" borderId="0" xfId="0" applyFont="1" applyAlignment="1">
      <alignment horizontal="right"/>
    </xf>
    <xf numFmtId="0" fontId="11" fillId="0" borderId="0" xfId="0" applyFont="1"/>
    <xf numFmtId="0" fontId="12" fillId="0" borderId="0" xfId="0" applyFont="1"/>
    <xf numFmtId="0" fontId="0" fillId="0" borderId="0" xfId="0" applyAlignment="1">
      <alignment horizontal="right"/>
    </xf>
    <xf numFmtId="0" fontId="3" fillId="4" borderId="0" xfId="3" applyAlignment="1"/>
    <xf numFmtId="176" fontId="0" fillId="0" borderId="0" xfId="0" applyNumberFormat="1"/>
    <xf numFmtId="0" fontId="0" fillId="5" borderId="0" xfId="0" applyFill="1" applyAlignment="1">
      <alignment horizontal="right"/>
    </xf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0" borderId="0" xfId="0" applyBorder="1"/>
    <xf numFmtId="0" fontId="4" fillId="0" borderId="0" xfId="0" applyFont="1" applyBorder="1" applyAlignment="1">
      <alignment horizontal="center"/>
    </xf>
    <xf numFmtId="0" fontId="0" fillId="0" borderId="0" xfId="0" applyAlignment="1">
      <alignment horizontal="right" wrapText="1"/>
    </xf>
    <xf numFmtId="0" fontId="4" fillId="0" borderId="0" xfId="0" applyFont="1" applyBorder="1"/>
    <xf numFmtId="0" fontId="4" fillId="0" borderId="2" xfId="0" applyFont="1" applyBorder="1"/>
    <xf numFmtId="0" fontId="4" fillId="0" borderId="4" xfId="0" applyFont="1" applyBorder="1" applyAlignment="1"/>
    <xf numFmtId="0" fontId="4" fillId="0" borderId="1" xfId="0" applyFont="1" applyBorder="1" applyAlignment="1"/>
    <xf numFmtId="0" fontId="4" fillId="0" borderId="5" xfId="0" applyFont="1" applyBorder="1" applyAlignment="1"/>
    <xf numFmtId="0" fontId="4" fillId="0" borderId="6" xfId="0" applyFont="1" applyBorder="1"/>
    <xf numFmtId="0" fontId="4" fillId="0" borderId="7" xfId="0" applyFont="1" applyBorder="1"/>
    <xf numFmtId="0" fontId="4" fillId="0" borderId="3" xfId="0" applyFont="1" applyBorder="1"/>
    <xf numFmtId="0" fontId="4" fillId="0" borderId="8" xfId="0" applyFont="1" applyBorder="1"/>
    <xf numFmtId="178" fontId="4" fillId="0" borderId="0" xfId="0" applyNumberFormat="1" applyFont="1"/>
    <xf numFmtId="179" fontId="0" fillId="0" borderId="0" xfId="0" applyNumberFormat="1" applyProtection="1"/>
    <xf numFmtId="0" fontId="15" fillId="0" borderId="0" xfId="4"/>
    <xf numFmtId="0" fontId="4" fillId="6" borderId="9" xfId="0" applyFont="1" applyFill="1" applyBorder="1"/>
    <xf numFmtId="0" fontId="4" fillId="8" borderId="9" xfId="0" applyFont="1" applyFill="1" applyBorder="1"/>
    <xf numFmtId="0" fontId="4" fillId="0" borderId="9" xfId="0" applyFont="1" applyBorder="1"/>
    <xf numFmtId="0" fontId="4" fillId="7" borderId="9" xfId="0" applyFont="1" applyFill="1" applyBorder="1"/>
    <xf numFmtId="0" fontId="13" fillId="0" borderId="9" xfId="0" applyFont="1" applyBorder="1"/>
    <xf numFmtId="0" fontId="0" fillId="0" borderId="9" xfId="0" applyBorder="1"/>
    <xf numFmtId="10" fontId="4" fillId="0" borderId="9" xfId="0" applyNumberFormat="1" applyFont="1" applyBorder="1"/>
    <xf numFmtId="9" fontId="4" fillId="0" borderId="9" xfId="0" applyNumberFormat="1" applyFont="1" applyBorder="1"/>
    <xf numFmtId="0" fontId="4" fillId="0" borderId="10" xfId="0" applyFont="1" applyFill="1" applyBorder="1"/>
    <xf numFmtId="0" fontId="4" fillId="5" borderId="9" xfId="0" applyFont="1" applyFill="1" applyBorder="1"/>
    <xf numFmtId="177" fontId="0" fillId="0" borderId="0" xfId="0" applyNumberFormat="1"/>
    <xf numFmtId="0" fontId="14" fillId="0" borderId="9" xfId="0" applyFont="1" applyBorder="1" applyAlignment="1">
      <alignment horizontal="center" vertical="center"/>
    </xf>
    <xf numFmtId="177" fontId="16" fillId="0" borderId="9" xfId="0" applyNumberFormat="1" applyFont="1" applyBorder="1" applyAlignment="1">
      <alignment horizontal="center" vertical="center"/>
    </xf>
    <xf numFmtId="0" fontId="4" fillId="6" borderId="9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</cellXfs>
  <cellStyles count="5">
    <cellStyle name="20% - 着色 1" xfId="2" builtinId="30"/>
    <cellStyle name="20% - 着色 2" xfId="3" builtinId="34"/>
    <cellStyle name="常规" xfId="0" builtinId="0"/>
    <cellStyle name="超链接" xfId="4" builtinId="8"/>
    <cellStyle name="着色 1" xfId="1" builtinId="29"/>
  </cellStyles>
  <dxfs count="0"/>
  <tableStyles count="0" defaultTableStyle="TableStyleMedium2" defaultPivotStyle="PivotStyleLight16"/>
  <colors>
    <mruColors>
      <color rgb="FFFFF0CD"/>
      <color rgb="FFFF6699"/>
      <color rgb="FFFF66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30480</xdr:colOff>
          <xdr:row>7</xdr:row>
          <xdr:rowOff>30480</xdr:rowOff>
        </xdr:from>
        <xdr:to>
          <xdr:col>22</xdr:col>
          <xdr:colOff>0</xdr:colOff>
          <xdr:row>9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材料计算v1.6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190500</xdr:rowOff>
        </xdr:from>
        <xdr:to>
          <xdr:col>17</xdr:col>
          <xdr:colOff>7620</xdr:colOff>
          <xdr:row>14</xdr:row>
          <xdr:rowOff>15240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3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最佳副词条分配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wnload\&#65533;&#65533;&#65533;&#636;&#65533;&#65533;&#65533;&#65533;&#65533;\&#20859;&#25104;&#35745;&#31639;&#221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首页"/>
      <sheetName val="背包-养成道具"/>
      <sheetName val="背包-材料"/>
      <sheetName val="阅历"/>
      <sheetName val="角色"/>
      <sheetName val="角色等级"/>
      <sheetName val="角色材料"/>
      <sheetName val="天赋材料"/>
      <sheetName val="武器"/>
      <sheetName val="武器等级"/>
      <sheetName val="武器材料"/>
      <sheetName val="圣遗物"/>
      <sheetName val="食物"/>
    </sheetNames>
    <sheetDataSet>
      <sheetData sheetId="0"/>
      <sheetData sheetId="1"/>
      <sheetData sheetId="2"/>
      <sheetData sheetId="3"/>
      <sheetData sheetId="4">
        <row r="2">
          <cell r="A2" t="str">
            <v>可莉</v>
          </cell>
        </row>
        <row r="3">
          <cell r="A3" t="str">
            <v>迪卢克</v>
          </cell>
        </row>
        <row r="4">
          <cell r="A4" t="str">
            <v>安柏</v>
          </cell>
        </row>
        <row r="5">
          <cell r="A5" t="str">
            <v>班尼特</v>
          </cell>
        </row>
        <row r="6">
          <cell r="A6" t="str">
            <v>香菱</v>
          </cell>
        </row>
        <row r="7">
          <cell r="A7" t="str">
            <v>辛焱</v>
          </cell>
        </row>
        <row r="8">
          <cell r="A8" t="str">
            <v>凯亚</v>
          </cell>
        </row>
        <row r="9">
          <cell r="A9" t="str">
            <v>七七</v>
          </cell>
        </row>
        <row r="10">
          <cell r="A10" t="str">
            <v>重云</v>
          </cell>
        </row>
        <row r="11">
          <cell r="A11" t="str">
            <v>迪奥娜</v>
          </cell>
        </row>
        <row r="12">
          <cell r="A12" t="str">
            <v>雷泽</v>
          </cell>
        </row>
        <row r="13">
          <cell r="A13" t="str">
            <v>丽莎</v>
          </cell>
        </row>
        <row r="14">
          <cell r="A14" t="str">
            <v>菲谢尔</v>
          </cell>
        </row>
        <row r="15">
          <cell r="A15" t="str">
            <v>刻晴</v>
          </cell>
        </row>
        <row r="16">
          <cell r="A16" t="str">
            <v>北斗</v>
          </cell>
        </row>
        <row r="17">
          <cell r="A17" t="str">
            <v>莫娜</v>
          </cell>
        </row>
        <row r="18">
          <cell r="A18" t="str">
            <v>芭芭拉</v>
          </cell>
        </row>
        <row r="19">
          <cell r="A19" t="str">
            <v>行秋</v>
          </cell>
        </row>
        <row r="20">
          <cell r="A20" t="str">
            <v>达达利亚</v>
          </cell>
        </row>
        <row r="21">
          <cell r="A21" t="str">
            <v>琴</v>
          </cell>
        </row>
        <row r="22">
          <cell r="A22" t="str">
            <v>温迪</v>
          </cell>
        </row>
        <row r="23">
          <cell r="A23" t="str">
            <v>砂糖</v>
          </cell>
        </row>
        <row r="24">
          <cell r="A24" t="str">
            <v>魈</v>
          </cell>
        </row>
        <row r="25">
          <cell r="A25" t="str">
            <v>诺埃尔</v>
          </cell>
        </row>
        <row r="26">
          <cell r="A26" t="str">
            <v>凝光</v>
          </cell>
        </row>
        <row r="27">
          <cell r="A27" t="str">
            <v>钟离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D110A-AC82-47E9-982F-85B76DBE93FF}">
  <sheetPr codeName="Sheet1"/>
  <dimension ref="A1:T30"/>
  <sheetViews>
    <sheetView tabSelected="1" workbookViewId="0">
      <pane ySplit="1" topLeftCell="A2" activePane="bottomLeft" state="frozen"/>
      <selection pane="bottomLeft" activeCell="F4" sqref="F4"/>
    </sheetView>
  </sheetViews>
  <sheetFormatPr defaultRowHeight="15.6" x14ac:dyDescent="0.35"/>
  <cols>
    <col min="1" max="1" width="11.109375" style="1" customWidth="1"/>
    <col min="2" max="3" width="8.88671875" style="2" customWidth="1"/>
    <col min="4" max="9" width="10" style="2" customWidth="1"/>
    <col min="10" max="10" width="8.88671875" customWidth="1"/>
    <col min="11" max="11" width="13.33203125" style="1" customWidth="1"/>
    <col min="12" max="13" width="8.88671875" style="2" customWidth="1"/>
    <col min="14" max="14" width="8.88671875" customWidth="1"/>
    <col min="15" max="15" width="15.5546875" style="1" customWidth="1"/>
    <col min="16" max="19" width="8.88671875" style="2" customWidth="1"/>
    <col min="20" max="20" width="0.21875" hidden="1" customWidth="1"/>
  </cols>
  <sheetData>
    <row r="1" spans="1:19" s="4" customFormat="1" ht="20.100000000000001" customHeight="1" x14ac:dyDescent="0.25">
      <c r="A1" s="5" t="s">
        <v>9</v>
      </c>
      <c r="B1" s="4" t="s">
        <v>346</v>
      </c>
      <c r="C1" s="4" t="s">
        <v>347</v>
      </c>
      <c r="D1" s="4" t="s">
        <v>360</v>
      </c>
      <c r="E1" s="4" t="s">
        <v>361</v>
      </c>
      <c r="F1" s="4" t="s">
        <v>574</v>
      </c>
      <c r="G1" s="4" t="s">
        <v>576</v>
      </c>
      <c r="H1" s="4" t="s">
        <v>575</v>
      </c>
      <c r="I1" s="4" t="s">
        <v>577</v>
      </c>
      <c r="K1" s="5" t="s">
        <v>348</v>
      </c>
      <c r="L1" s="4" t="s">
        <v>346</v>
      </c>
      <c r="M1" s="4" t="s">
        <v>347</v>
      </c>
      <c r="O1" s="5" t="s">
        <v>377</v>
      </c>
      <c r="P1" s="4" t="s">
        <v>281</v>
      </c>
      <c r="Q1" s="4" t="s">
        <v>349</v>
      </c>
      <c r="R1" s="4" t="s">
        <v>346</v>
      </c>
      <c r="S1" s="4" t="s">
        <v>347</v>
      </c>
    </row>
    <row r="2" spans="1:19" ht="16.5" customHeight="1" x14ac:dyDescent="0.35">
      <c r="A2" s="1" t="s">
        <v>480</v>
      </c>
      <c r="B2" s="2">
        <v>80</v>
      </c>
      <c r="C2" s="2">
        <v>80</v>
      </c>
      <c r="D2" s="2">
        <v>1</v>
      </c>
      <c r="E2" s="2">
        <v>1</v>
      </c>
      <c r="F2" s="2">
        <v>3</v>
      </c>
      <c r="G2" s="2">
        <v>3</v>
      </c>
      <c r="H2" s="2">
        <v>4</v>
      </c>
      <c r="I2" s="2">
        <v>4</v>
      </c>
      <c r="K2" s="1" t="s">
        <v>287</v>
      </c>
      <c r="L2" s="2">
        <v>70</v>
      </c>
      <c r="M2" s="2">
        <v>70</v>
      </c>
      <c r="O2" s="1" t="s">
        <v>481</v>
      </c>
      <c r="P2" s="2">
        <v>5</v>
      </c>
      <c r="Q2" s="2">
        <v>5</v>
      </c>
      <c r="R2" s="2">
        <v>0</v>
      </c>
      <c r="S2" s="2">
        <v>0</v>
      </c>
    </row>
    <row r="3" spans="1:19" x14ac:dyDescent="0.35">
      <c r="A3" s="1" t="s">
        <v>499</v>
      </c>
      <c r="B3" s="2">
        <v>40</v>
      </c>
      <c r="C3" s="2">
        <v>40</v>
      </c>
      <c r="D3" s="2">
        <v>1</v>
      </c>
      <c r="E3" s="2">
        <v>1</v>
      </c>
      <c r="F3" s="2">
        <v>1</v>
      </c>
      <c r="G3" s="2">
        <v>1</v>
      </c>
      <c r="H3" s="2">
        <v>1</v>
      </c>
      <c r="I3" s="2">
        <v>1</v>
      </c>
      <c r="K3" s="1" t="s">
        <v>301</v>
      </c>
      <c r="L3" s="2">
        <v>1</v>
      </c>
      <c r="M3" s="2">
        <v>1</v>
      </c>
      <c r="O3" s="1" t="s">
        <v>500</v>
      </c>
      <c r="P3" s="2">
        <v>5</v>
      </c>
      <c r="Q3" s="2">
        <v>5</v>
      </c>
      <c r="R3" s="2">
        <v>0</v>
      </c>
      <c r="S3" s="2">
        <v>0</v>
      </c>
    </row>
    <row r="4" spans="1:19" x14ac:dyDescent="0.35">
      <c r="A4" s="1" t="s">
        <v>484</v>
      </c>
      <c r="B4" s="2">
        <v>50</v>
      </c>
      <c r="C4" s="2">
        <v>50</v>
      </c>
      <c r="D4" s="2">
        <v>1</v>
      </c>
      <c r="E4" s="2">
        <v>1</v>
      </c>
      <c r="F4" s="2">
        <v>1</v>
      </c>
      <c r="G4" s="2">
        <v>1</v>
      </c>
      <c r="H4" s="2">
        <v>1</v>
      </c>
      <c r="I4" s="2">
        <v>1</v>
      </c>
      <c r="K4" s="1" t="s">
        <v>485</v>
      </c>
      <c r="L4" s="2">
        <v>70</v>
      </c>
      <c r="M4" s="2">
        <v>70</v>
      </c>
      <c r="O4" s="1" t="s">
        <v>486</v>
      </c>
      <c r="P4" s="2">
        <v>5</v>
      </c>
      <c r="Q4" s="2">
        <v>5</v>
      </c>
      <c r="R4" s="2">
        <v>0</v>
      </c>
      <c r="S4" s="2">
        <v>0</v>
      </c>
    </row>
    <row r="5" spans="1:19" x14ac:dyDescent="0.35">
      <c r="A5" s="1" t="s">
        <v>487</v>
      </c>
      <c r="B5" s="2">
        <v>60</v>
      </c>
      <c r="C5" s="2">
        <v>60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K5" s="1" t="s">
        <v>319</v>
      </c>
      <c r="L5" s="2">
        <v>70</v>
      </c>
      <c r="M5" s="2">
        <v>70</v>
      </c>
      <c r="O5" s="1" t="s">
        <v>488</v>
      </c>
      <c r="P5" s="2">
        <v>5</v>
      </c>
      <c r="Q5" s="2">
        <v>5</v>
      </c>
      <c r="R5" s="2">
        <v>0</v>
      </c>
      <c r="S5" s="2">
        <v>0</v>
      </c>
    </row>
    <row r="6" spans="1:19" x14ac:dyDescent="0.35">
      <c r="A6" s="1" t="s">
        <v>505</v>
      </c>
      <c r="B6" s="2">
        <v>80</v>
      </c>
      <c r="C6" s="2">
        <v>80</v>
      </c>
      <c r="D6" s="2">
        <v>1</v>
      </c>
      <c r="E6" s="2">
        <v>1</v>
      </c>
      <c r="F6" s="2">
        <v>7</v>
      </c>
      <c r="G6" s="2">
        <v>7</v>
      </c>
      <c r="H6" s="2">
        <v>8</v>
      </c>
      <c r="I6" s="2">
        <v>8</v>
      </c>
      <c r="K6" s="1" t="s">
        <v>309</v>
      </c>
      <c r="L6" s="2">
        <v>60</v>
      </c>
      <c r="M6" s="2">
        <v>60</v>
      </c>
      <c r="O6" s="1" t="s">
        <v>506</v>
      </c>
      <c r="P6" s="2">
        <v>5</v>
      </c>
      <c r="Q6" s="2">
        <v>5</v>
      </c>
      <c r="R6" s="2">
        <v>0</v>
      </c>
      <c r="S6" s="2">
        <v>0</v>
      </c>
    </row>
    <row r="7" spans="1:19" x14ac:dyDescent="0.35">
      <c r="A7" s="1" t="s">
        <v>482</v>
      </c>
      <c r="B7" s="2">
        <v>80</v>
      </c>
      <c r="C7" s="2">
        <v>80</v>
      </c>
      <c r="D7" s="2">
        <v>2</v>
      </c>
      <c r="E7" s="2">
        <v>2</v>
      </c>
      <c r="F7" s="2">
        <v>8</v>
      </c>
      <c r="G7" s="2">
        <v>8</v>
      </c>
      <c r="H7" s="2">
        <v>7</v>
      </c>
      <c r="I7" s="2">
        <v>7</v>
      </c>
      <c r="K7" s="1" t="s">
        <v>309</v>
      </c>
      <c r="L7" s="2">
        <v>50</v>
      </c>
      <c r="M7" s="2">
        <v>50</v>
      </c>
      <c r="O7" s="1" t="s">
        <v>483</v>
      </c>
      <c r="P7" s="2">
        <v>5</v>
      </c>
      <c r="Q7" s="2">
        <v>5</v>
      </c>
      <c r="R7" s="2">
        <v>20</v>
      </c>
      <c r="S7" s="2">
        <v>20</v>
      </c>
    </row>
    <row r="8" spans="1:19" x14ac:dyDescent="0.35">
      <c r="A8" s="1" t="s">
        <v>489</v>
      </c>
      <c r="B8" s="2">
        <v>80</v>
      </c>
      <c r="C8" s="2">
        <v>80</v>
      </c>
      <c r="D8" s="2">
        <v>1</v>
      </c>
      <c r="E8" s="2">
        <v>1</v>
      </c>
      <c r="F8" s="2">
        <v>8</v>
      </c>
      <c r="G8" s="2">
        <v>8</v>
      </c>
      <c r="H8" s="2">
        <v>8</v>
      </c>
      <c r="I8" s="2">
        <v>8</v>
      </c>
      <c r="K8" s="1" t="s">
        <v>275</v>
      </c>
      <c r="L8" s="2">
        <v>80</v>
      </c>
      <c r="M8" s="2">
        <v>80</v>
      </c>
      <c r="O8" s="1" t="s">
        <v>490</v>
      </c>
      <c r="P8" s="2">
        <v>5</v>
      </c>
      <c r="Q8" s="2">
        <v>5</v>
      </c>
      <c r="R8" s="2">
        <v>20</v>
      </c>
      <c r="S8" s="2">
        <v>20</v>
      </c>
    </row>
    <row r="9" spans="1:19" x14ac:dyDescent="0.35">
      <c r="A9" s="1" t="s">
        <v>491</v>
      </c>
      <c r="B9" s="2">
        <v>90</v>
      </c>
      <c r="C9" s="2">
        <v>90</v>
      </c>
      <c r="D9" s="2">
        <v>5</v>
      </c>
      <c r="E9" s="2">
        <v>5</v>
      </c>
      <c r="F9" s="2">
        <v>8</v>
      </c>
      <c r="G9" s="2">
        <v>8</v>
      </c>
      <c r="H9" s="2">
        <v>8</v>
      </c>
      <c r="I9" s="2">
        <v>8</v>
      </c>
      <c r="K9" s="1" t="s">
        <v>298</v>
      </c>
      <c r="L9" s="2">
        <v>90</v>
      </c>
      <c r="M9" s="2">
        <v>90</v>
      </c>
      <c r="O9" s="1" t="s">
        <v>492</v>
      </c>
      <c r="P9" s="2">
        <v>5</v>
      </c>
      <c r="Q9" s="2">
        <v>5</v>
      </c>
      <c r="R9" s="2">
        <v>20</v>
      </c>
      <c r="S9" s="2">
        <v>20</v>
      </c>
    </row>
    <row r="10" spans="1:19" x14ac:dyDescent="0.35">
      <c r="A10" s="1" t="s">
        <v>493</v>
      </c>
      <c r="B10" s="2">
        <v>90</v>
      </c>
      <c r="C10" s="2">
        <v>90</v>
      </c>
      <c r="D10" s="2">
        <v>2</v>
      </c>
      <c r="E10" s="2">
        <v>2</v>
      </c>
      <c r="F10" s="2">
        <v>9</v>
      </c>
      <c r="G10" s="2">
        <v>9</v>
      </c>
      <c r="H10" s="2">
        <v>2</v>
      </c>
      <c r="I10" s="2">
        <v>2</v>
      </c>
      <c r="K10" s="1" t="s">
        <v>476</v>
      </c>
      <c r="L10" s="2">
        <v>90</v>
      </c>
      <c r="M10" s="2">
        <v>90</v>
      </c>
      <c r="O10" s="1" t="s">
        <v>494</v>
      </c>
      <c r="P10" s="2">
        <v>5</v>
      </c>
      <c r="Q10" s="2">
        <v>5</v>
      </c>
      <c r="R10" s="2">
        <v>20</v>
      </c>
      <c r="S10" s="2">
        <v>20</v>
      </c>
    </row>
    <row r="11" spans="1:19" x14ac:dyDescent="0.35">
      <c r="A11" s="1" t="s">
        <v>495</v>
      </c>
      <c r="B11" s="2">
        <v>90</v>
      </c>
      <c r="C11" s="2">
        <v>90</v>
      </c>
      <c r="D11" s="2">
        <v>2</v>
      </c>
      <c r="E11" s="2">
        <v>2</v>
      </c>
      <c r="F11" s="2">
        <v>8</v>
      </c>
      <c r="G11" s="2">
        <v>8</v>
      </c>
      <c r="H11" s="2">
        <v>9</v>
      </c>
      <c r="I11" s="2">
        <v>9</v>
      </c>
      <c r="K11" s="1" t="s">
        <v>313</v>
      </c>
      <c r="L11" s="2">
        <v>90</v>
      </c>
      <c r="M11" s="2">
        <v>90</v>
      </c>
      <c r="O11" s="1" t="s">
        <v>496</v>
      </c>
      <c r="P11" s="2">
        <v>5</v>
      </c>
      <c r="Q11" s="2">
        <v>5</v>
      </c>
      <c r="R11" s="2">
        <v>20</v>
      </c>
      <c r="S11" s="2">
        <v>20</v>
      </c>
    </row>
    <row r="12" spans="1:19" x14ac:dyDescent="0.35">
      <c r="A12" s="1" t="s">
        <v>497</v>
      </c>
      <c r="B12" s="2">
        <v>90</v>
      </c>
      <c r="C12" s="2">
        <v>90</v>
      </c>
      <c r="D12" s="2">
        <v>1</v>
      </c>
      <c r="E12" s="2">
        <v>1</v>
      </c>
      <c r="F12" s="2">
        <v>8</v>
      </c>
      <c r="G12" s="2">
        <v>8</v>
      </c>
      <c r="H12" s="2">
        <v>8</v>
      </c>
      <c r="I12" s="2">
        <v>8</v>
      </c>
      <c r="K12" s="1" t="s">
        <v>277</v>
      </c>
      <c r="L12" s="2">
        <v>90</v>
      </c>
      <c r="M12" s="2">
        <v>90</v>
      </c>
      <c r="O12" s="1" t="s">
        <v>498</v>
      </c>
      <c r="P12" s="2">
        <v>5</v>
      </c>
      <c r="Q12" s="2">
        <v>5</v>
      </c>
      <c r="R12" s="2">
        <v>20</v>
      </c>
      <c r="S12" s="2">
        <v>20</v>
      </c>
    </row>
    <row r="13" spans="1:19" x14ac:dyDescent="0.35">
      <c r="A13" s="1" t="s">
        <v>501</v>
      </c>
      <c r="B13" s="2">
        <v>80</v>
      </c>
      <c r="C13" s="2">
        <v>80</v>
      </c>
      <c r="D13" s="2">
        <v>7</v>
      </c>
      <c r="E13" s="2">
        <v>7</v>
      </c>
      <c r="F13" s="2">
        <v>3</v>
      </c>
      <c r="G13" s="2">
        <v>3</v>
      </c>
      <c r="H13" s="2">
        <v>4</v>
      </c>
      <c r="I13" s="2">
        <v>4</v>
      </c>
      <c r="K13" s="1" t="s">
        <v>283</v>
      </c>
      <c r="L13" s="2">
        <v>90</v>
      </c>
      <c r="M13" s="2">
        <v>90</v>
      </c>
      <c r="O13" s="1" t="s">
        <v>502</v>
      </c>
      <c r="P13" s="2">
        <v>5</v>
      </c>
      <c r="Q13" s="2">
        <v>5</v>
      </c>
      <c r="R13" s="2">
        <v>20</v>
      </c>
      <c r="S13" s="2">
        <v>20</v>
      </c>
    </row>
    <row r="14" spans="1:19" x14ac:dyDescent="0.35">
      <c r="A14" s="1" t="s">
        <v>503</v>
      </c>
      <c r="B14" s="2">
        <v>80</v>
      </c>
      <c r="C14" s="2">
        <v>80</v>
      </c>
      <c r="D14" s="2">
        <v>1</v>
      </c>
      <c r="E14" s="2">
        <v>1</v>
      </c>
      <c r="F14" s="2">
        <v>8</v>
      </c>
      <c r="G14" s="2">
        <v>8</v>
      </c>
      <c r="H14" s="2">
        <v>8</v>
      </c>
      <c r="I14" s="2">
        <v>8</v>
      </c>
      <c r="K14" s="1" t="s">
        <v>315</v>
      </c>
      <c r="L14" s="2">
        <v>80</v>
      </c>
      <c r="M14" s="2">
        <v>80</v>
      </c>
      <c r="O14" s="1" t="s">
        <v>504</v>
      </c>
      <c r="P14" s="2">
        <v>5</v>
      </c>
      <c r="Q14" s="2">
        <v>5</v>
      </c>
      <c r="R14" s="2">
        <v>20</v>
      </c>
      <c r="S14" s="2">
        <v>20</v>
      </c>
    </row>
    <row r="15" spans="1:19" x14ac:dyDescent="0.35">
      <c r="A15" s="1" t="s">
        <v>507</v>
      </c>
      <c r="B15" s="2">
        <v>90</v>
      </c>
      <c r="C15" s="2">
        <v>90</v>
      </c>
      <c r="D15" s="2">
        <v>9</v>
      </c>
      <c r="E15" s="2">
        <v>9</v>
      </c>
      <c r="F15" s="2">
        <v>8</v>
      </c>
      <c r="G15" s="2">
        <v>8</v>
      </c>
      <c r="H15" s="2">
        <v>9</v>
      </c>
      <c r="I15" s="2">
        <v>9</v>
      </c>
      <c r="K15" s="1" t="s">
        <v>302</v>
      </c>
      <c r="L15" s="2">
        <v>90</v>
      </c>
      <c r="M15" s="2">
        <v>90</v>
      </c>
      <c r="O15" s="1" t="s">
        <v>508</v>
      </c>
      <c r="P15" s="2">
        <v>5</v>
      </c>
      <c r="Q15" s="2">
        <v>5</v>
      </c>
      <c r="R15" s="2">
        <v>20</v>
      </c>
      <c r="S15" s="2">
        <v>20</v>
      </c>
    </row>
    <row r="16" spans="1:19" x14ac:dyDescent="0.35">
      <c r="A16" s="1" t="s">
        <v>509</v>
      </c>
      <c r="B16" s="2">
        <v>90</v>
      </c>
      <c r="C16" s="2">
        <v>90</v>
      </c>
      <c r="D16" s="2">
        <v>10</v>
      </c>
      <c r="E16" s="2">
        <v>10</v>
      </c>
      <c r="F16" s="2">
        <v>8</v>
      </c>
      <c r="G16" s="2">
        <v>8</v>
      </c>
      <c r="H16" s="2">
        <v>8</v>
      </c>
      <c r="I16" s="2">
        <v>8</v>
      </c>
      <c r="K16" s="1" t="s">
        <v>318</v>
      </c>
      <c r="L16" s="2">
        <v>90</v>
      </c>
      <c r="M16" s="2">
        <v>90</v>
      </c>
      <c r="O16" s="1" t="s">
        <v>510</v>
      </c>
      <c r="P16" s="2">
        <v>5</v>
      </c>
      <c r="Q16" s="2">
        <v>5</v>
      </c>
      <c r="R16" s="2">
        <v>20</v>
      </c>
      <c r="S16" s="2">
        <v>20</v>
      </c>
    </row>
    <row r="17" spans="1:19" x14ac:dyDescent="0.35">
      <c r="A17" s="1" t="s">
        <v>511</v>
      </c>
      <c r="B17" s="2">
        <v>90</v>
      </c>
      <c r="C17" s="2">
        <v>90</v>
      </c>
      <c r="D17" s="2">
        <v>8</v>
      </c>
      <c r="E17" s="2">
        <v>8</v>
      </c>
      <c r="F17" s="2">
        <v>8</v>
      </c>
      <c r="G17" s="2">
        <v>8</v>
      </c>
      <c r="H17" s="2">
        <v>8</v>
      </c>
      <c r="I17" s="2">
        <v>8</v>
      </c>
      <c r="K17" s="1" t="s">
        <v>468</v>
      </c>
      <c r="L17" s="2">
        <v>90</v>
      </c>
      <c r="M17" s="2">
        <v>90</v>
      </c>
      <c r="O17" s="1" t="s">
        <v>512</v>
      </c>
      <c r="P17" s="2">
        <v>5</v>
      </c>
      <c r="Q17" s="2">
        <v>5</v>
      </c>
      <c r="R17" s="2">
        <v>20</v>
      </c>
      <c r="S17" s="2">
        <v>20</v>
      </c>
    </row>
    <row r="18" spans="1:19" x14ac:dyDescent="0.35">
      <c r="A18" s="1" t="s">
        <v>514</v>
      </c>
      <c r="B18" s="2">
        <v>90</v>
      </c>
      <c r="C18" s="2">
        <v>90</v>
      </c>
      <c r="D18" s="2">
        <v>8</v>
      </c>
      <c r="E18" s="2">
        <v>8</v>
      </c>
      <c r="F18" s="2">
        <v>7</v>
      </c>
      <c r="G18" s="2">
        <v>7</v>
      </c>
      <c r="H18" s="2">
        <v>7</v>
      </c>
      <c r="I18" s="2">
        <v>7</v>
      </c>
      <c r="K18" s="1" t="s">
        <v>680</v>
      </c>
      <c r="L18" s="2">
        <v>90</v>
      </c>
      <c r="M18" s="2">
        <v>90</v>
      </c>
      <c r="O18" s="1" t="s">
        <v>518</v>
      </c>
      <c r="P18" s="2">
        <v>5</v>
      </c>
      <c r="Q18" s="2">
        <v>5</v>
      </c>
      <c r="R18" s="2">
        <v>20</v>
      </c>
      <c r="S18" s="2">
        <v>20</v>
      </c>
    </row>
    <row r="19" spans="1:19" x14ac:dyDescent="0.35">
      <c r="A19" s="1" t="s">
        <v>410</v>
      </c>
      <c r="B19" s="2">
        <v>1</v>
      </c>
      <c r="C19" s="2">
        <v>90</v>
      </c>
      <c r="D19" s="2">
        <v>1</v>
      </c>
      <c r="E19" s="2">
        <v>9</v>
      </c>
      <c r="F19" s="2">
        <v>1</v>
      </c>
      <c r="G19" s="2">
        <v>9</v>
      </c>
      <c r="H19" s="2">
        <v>1</v>
      </c>
      <c r="I19" s="2">
        <v>9</v>
      </c>
      <c r="K19" s="1" t="s">
        <v>683</v>
      </c>
      <c r="L19" s="2">
        <v>1</v>
      </c>
      <c r="M19" s="2">
        <v>90</v>
      </c>
      <c r="O19" s="1" t="s">
        <v>520</v>
      </c>
      <c r="P19" s="2">
        <v>5</v>
      </c>
      <c r="Q19" s="2">
        <v>5</v>
      </c>
      <c r="R19" s="2">
        <v>0</v>
      </c>
      <c r="S19" s="2">
        <v>0</v>
      </c>
    </row>
    <row r="30" spans="1:19" ht="13.8" x14ac:dyDescent="0.25">
      <c r="A30" s="8"/>
      <c r="B30" s="6" t="s">
        <v>384</v>
      </c>
      <c r="C30" s="8"/>
      <c r="D30" s="8"/>
      <c r="E30" s="8"/>
      <c r="F30" s="8"/>
      <c r="G30" s="8"/>
      <c r="H30" s="8"/>
      <c r="I30" s="8"/>
      <c r="J30" s="8"/>
      <c r="K30" s="6"/>
      <c r="L30" s="7"/>
      <c r="M30" s="7"/>
      <c r="N30" s="7"/>
      <c r="O30" s="6"/>
      <c r="P30" s="7"/>
      <c r="Q30" s="7"/>
      <c r="R30" s="6"/>
      <c r="S30" s="7"/>
    </row>
  </sheetData>
  <phoneticPr fontId="1" type="noConversion"/>
  <dataValidations xWindow="83" yWindow="207" count="4">
    <dataValidation type="list" errorStyle="warning" allowBlank="1" showInputMessage="1" showErrorMessage="1" errorTitle="Warning" error="无效的等级数据，建议从下拉列表中选择" sqref="L31:M32 L2:M3 L4:M28" xr:uid="{F727E1A3-CD1E-4173-AEAA-AB21CAE99734}">
      <formula1>"1,20,20+,40,40+,50,50+,60,60+,70,70+,80,80+,90"</formula1>
    </dataValidation>
    <dataValidation type="list" errorStyle="warning" allowBlank="1" showInputMessage="1" showErrorMessage="1" errorTitle="Warning" error="无效的等级数据，建议从下拉列表中选择" sqref="D31:I32 D2:I3 D4:I28" xr:uid="{1B759825-E773-42B8-8F6B-AABA3408D2BE}">
      <formula1>"1,2,3,4,5,6,7,8,9,10"</formula1>
    </dataValidation>
    <dataValidation type="list" allowBlank="1" showInputMessage="1" showErrorMessage="1" errorTitle="Error" error="无效的星级信息，建议从下拉列表中选择" sqref="P31 P2:P3 P4:P28" xr:uid="{DB321002-3694-4EB0-AC5F-448A9ECFDCE9}">
      <formula1>"3,4,5"</formula1>
    </dataValidation>
    <dataValidation type="whole" operator="greaterThanOrEqual" allowBlank="1" showInputMessage="1" showErrorMessage="1" errorTitle="Error" error="无效的数量信息，请填写任意正整数" sqref="Q31 Q2:Q3 Q4:Q28" xr:uid="{202F4D77-03F6-48BC-933B-C9B84C89FEFA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材料计算.材料计算">
                <anchor moveWithCells="1" sizeWithCells="1">
                  <from>
                    <xdr:col>20</xdr:col>
                    <xdr:colOff>30480</xdr:colOff>
                    <xdr:row>7</xdr:row>
                    <xdr:rowOff>30480</xdr:rowOff>
                  </from>
                  <to>
                    <xdr:col>22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83" yWindow="207" count="4">
        <x14:dataValidation type="list" allowBlank="1" showInputMessage="1" showErrorMessage="1" xr:uid="{70AAFEBA-548B-4CD1-B038-CE9467957085}">
          <x14:formula1>
            <xm:f>OFFSET(圣遗物!$B$2,MATCH($P2,圣遗物!$A$2:$A$52,0)-1,0,$P2*4+1,1)</xm:f>
          </x14:formula1>
          <xm:sqref>R31:S31 R2:S3 R4:S28</xm:sqref>
        </x14:dataValidation>
        <x14:dataValidation type="list" errorStyle="warning" allowBlank="1" showInputMessage="1" showErrorMessage="1" errorTitle="Warning" error="无效的等级数据，建议从下拉列表中选择" xr:uid="{556BC554-73CD-4DFE-ACF6-60764A6C609F}">
          <x14:formula1>
            <xm:f>角色等级!$L$2:$L$97</xm:f>
          </x14:formula1>
          <xm:sqref>B31:C32 B2:C3 B4:C28</xm:sqref>
        </x14:dataValidation>
        <x14:dataValidation type="list" errorStyle="warning" allowBlank="1" showInputMessage="1" showErrorMessage="1" errorTitle="Warning" error="无效的武器数据，建议从下拉列表中选择" xr:uid="{C0488950-0A72-47BF-971A-FA6B274DD3E4}">
          <x14:formula1>
            <xm:f>武器!$B$2:$B$106</xm:f>
          </x14:formula1>
          <xm:sqref>K31:K32 K2:K28</xm:sqref>
        </x14:dataValidation>
        <x14:dataValidation type="list" errorStyle="warning" allowBlank="1" showInputMessage="1" showErrorMessage="1" errorTitle="Warning" error="无效的人物数据，建议从下拉列表中选择" xr:uid="{99FB7D91-812B-4E80-BA02-D25EA74F291E}">
          <x14:formula1>
            <xm:f>角色!$A$2:$A$37</xm:f>
          </x14:formula1>
          <xm:sqref>A31:A32 A2:A9 A12:A28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1AC62-80D1-4CCB-9BBA-11A88B0468F1}">
  <sheetPr codeName="Sheet2"/>
  <dimension ref="A1:P163"/>
  <sheetViews>
    <sheetView workbookViewId="0">
      <pane ySplit="1" topLeftCell="A2" activePane="bottomLeft" state="frozen"/>
      <selection pane="bottomLeft" activeCell="G152" sqref="G152"/>
    </sheetView>
  </sheetViews>
  <sheetFormatPr defaultRowHeight="15.6" x14ac:dyDescent="0.35"/>
  <cols>
    <col min="1" max="1" width="17.77734375" style="3" customWidth="1"/>
    <col min="2" max="2" width="17.77734375" style="11" customWidth="1"/>
    <col min="3" max="4" width="8.88671875" style="11" customWidth="1"/>
    <col min="5" max="5" width="11.109375" customWidth="1"/>
    <col min="6" max="6" width="16.109375" style="14" bestFit="1" customWidth="1"/>
    <col min="7" max="7" width="8.88671875" style="2" customWidth="1"/>
    <col min="8" max="8" width="17.77734375" style="14" customWidth="1"/>
    <col min="9" max="9" width="11.109375" style="14" customWidth="1"/>
    <col min="10" max="10" width="9.109375" bestFit="1" customWidth="1"/>
  </cols>
  <sheetData>
    <row r="1" spans="1:11" s="4" customFormat="1" ht="20.100000000000001" customHeight="1" x14ac:dyDescent="0.25">
      <c r="A1" s="9" t="s">
        <v>350</v>
      </c>
      <c r="B1" s="10" t="s">
        <v>26</v>
      </c>
      <c r="C1" s="10" t="s">
        <v>195</v>
      </c>
      <c r="D1" s="10" t="s">
        <v>66</v>
      </c>
      <c r="E1" s="10" t="s">
        <v>422</v>
      </c>
      <c r="F1" s="10" t="s">
        <v>423</v>
      </c>
      <c r="G1" s="10" t="s">
        <v>363</v>
      </c>
      <c r="H1" s="10" t="s">
        <v>424</v>
      </c>
      <c r="I1" s="10" t="s">
        <v>425</v>
      </c>
      <c r="J1" s="10" t="s">
        <v>704</v>
      </c>
      <c r="K1" s="10" t="s">
        <v>710</v>
      </c>
    </row>
    <row r="2" spans="1:11" x14ac:dyDescent="0.35">
      <c r="A2" s="3" t="s">
        <v>1</v>
      </c>
      <c r="B2" s="11" t="s">
        <v>71</v>
      </c>
      <c r="D2" s="11">
        <v>436</v>
      </c>
    </row>
    <row r="3" spans="1:11" x14ac:dyDescent="0.35">
      <c r="A3" s="3" t="s">
        <v>1</v>
      </c>
      <c r="B3" s="11" t="s">
        <v>72</v>
      </c>
      <c r="D3" s="11">
        <v>374</v>
      </c>
      <c r="E3">
        <v>8362650</v>
      </c>
      <c r="F3" s="14" t="s">
        <v>519</v>
      </c>
      <c r="H3" s="14" t="s">
        <v>681</v>
      </c>
      <c r="I3" s="14">
        <v>8362650</v>
      </c>
    </row>
    <row r="4" spans="1:11" x14ac:dyDescent="0.35">
      <c r="A4" s="3" t="s">
        <v>1</v>
      </c>
      <c r="B4" s="11" t="s">
        <v>73</v>
      </c>
      <c r="D4" s="11">
        <v>476</v>
      </c>
    </row>
    <row r="5" spans="1:11" x14ac:dyDescent="0.35">
      <c r="A5" s="3" t="s">
        <v>28</v>
      </c>
      <c r="B5" s="11" t="s">
        <v>30</v>
      </c>
      <c r="C5" s="11">
        <v>3</v>
      </c>
      <c r="D5" s="11">
        <v>264</v>
      </c>
    </row>
    <row r="6" spans="1:11" x14ac:dyDescent="0.35">
      <c r="A6" s="3" t="s">
        <v>28</v>
      </c>
      <c r="B6" s="11" t="s">
        <v>29</v>
      </c>
      <c r="C6" s="11">
        <v>3</v>
      </c>
      <c r="D6" s="11">
        <v>572</v>
      </c>
    </row>
    <row r="7" spans="1:11" x14ac:dyDescent="0.35">
      <c r="A7" s="3" t="s">
        <v>28</v>
      </c>
      <c r="B7" s="11" t="s">
        <v>27</v>
      </c>
      <c r="D7" s="11">
        <v>1956</v>
      </c>
    </row>
    <row r="8" spans="1:11" x14ac:dyDescent="0.35">
      <c r="A8" s="3" t="s">
        <v>31</v>
      </c>
      <c r="B8" s="11" t="s">
        <v>34</v>
      </c>
      <c r="C8" s="11">
        <v>3</v>
      </c>
      <c r="D8" s="11">
        <v>103</v>
      </c>
    </row>
    <row r="9" spans="1:11" x14ac:dyDescent="0.35">
      <c r="A9" s="3" t="s">
        <v>31</v>
      </c>
      <c r="B9" s="11" t="s">
        <v>33</v>
      </c>
      <c r="C9" s="11">
        <v>3</v>
      </c>
      <c r="D9" s="11">
        <v>685</v>
      </c>
    </row>
    <row r="10" spans="1:11" x14ac:dyDescent="0.35">
      <c r="A10" s="3" t="s">
        <v>31</v>
      </c>
      <c r="B10" s="11" t="s">
        <v>32</v>
      </c>
      <c r="D10" s="11">
        <v>2849</v>
      </c>
    </row>
    <row r="11" spans="1:11" x14ac:dyDescent="0.35">
      <c r="A11" s="3" t="s">
        <v>35</v>
      </c>
      <c r="B11" s="11" t="s">
        <v>124</v>
      </c>
      <c r="C11" s="11">
        <v>3</v>
      </c>
      <c r="D11" s="11">
        <v>95</v>
      </c>
    </row>
    <row r="12" spans="1:11" x14ac:dyDescent="0.35">
      <c r="A12" s="3" t="s">
        <v>35</v>
      </c>
      <c r="B12" s="11" t="s">
        <v>37</v>
      </c>
      <c r="C12" s="11">
        <v>3</v>
      </c>
      <c r="D12" s="11">
        <v>416</v>
      </c>
    </row>
    <row r="13" spans="1:11" x14ac:dyDescent="0.35">
      <c r="A13" s="3" t="s">
        <v>35</v>
      </c>
      <c r="B13" s="11" t="s">
        <v>36</v>
      </c>
      <c r="D13" s="11">
        <v>2166</v>
      </c>
    </row>
    <row r="14" spans="1:11" x14ac:dyDescent="0.35">
      <c r="A14" s="3" t="s">
        <v>38</v>
      </c>
      <c r="B14" s="11" t="s">
        <v>41</v>
      </c>
      <c r="C14" s="11">
        <v>3</v>
      </c>
      <c r="D14" s="11">
        <v>79</v>
      </c>
    </row>
    <row r="15" spans="1:11" x14ac:dyDescent="0.35">
      <c r="A15" s="3" t="s">
        <v>38</v>
      </c>
      <c r="B15" s="11" t="s">
        <v>40</v>
      </c>
      <c r="C15" s="11">
        <v>3</v>
      </c>
      <c r="D15" s="11">
        <v>442</v>
      </c>
    </row>
    <row r="16" spans="1:11" x14ac:dyDescent="0.35">
      <c r="A16" s="3" t="s">
        <v>38</v>
      </c>
      <c r="B16" s="11" t="s">
        <v>39</v>
      </c>
      <c r="D16" s="11">
        <v>1933</v>
      </c>
    </row>
    <row r="17" spans="1:4" x14ac:dyDescent="0.35">
      <c r="A17" s="3" t="s">
        <v>42</v>
      </c>
      <c r="B17" s="11" t="s">
        <v>45</v>
      </c>
      <c r="C17" s="11">
        <v>3</v>
      </c>
      <c r="D17" s="11">
        <v>89</v>
      </c>
    </row>
    <row r="18" spans="1:4" x14ac:dyDescent="0.35">
      <c r="A18" s="3" t="s">
        <v>42</v>
      </c>
      <c r="B18" s="11" t="s">
        <v>44</v>
      </c>
      <c r="C18" s="11">
        <v>3</v>
      </c>
      <c r="D18" s="11">
        <v>458</v>
      </c>
    </row>
    <row r="19" spans="1:4" x14ac:dyDescent="0.35">
      <c r="A19" s="3" t="s">
        <v>42</v>
      </c>
      <c r="B19" s="11" t="s">
        <v>43</v>
      </c>
      <c r="D19" s="11">
        <v>1893</v>
      </c>
    </row>
    <row r="20" spans="1:4" x14ac:dyDescent="0.35">
      <c r="A20" s="3" t="s">
        <v>46</v>
      </c>
      <c r="B20" s="11" t="s">
        <v>49</v>
      </c>
      <c r="C20" s="11">
        <v>3</v>
      </c>
      <c r="D20" s="11">
        <v>30</v>
      </c>
    </row>
    <row r="21" spans="1:4" x14ac:dyDescent="0.35">
      <c r="A21" s="3" t="s">
        <v>46</v>
      </c>
      <c r="B21" s="11" t="s">
        <v>48</v>
      </c>
      <c r="C21" s="11">
        <v>3</v>
      </c>
      <c r="D21" s="11">
        <v>131</v>
      </c>
    </row>
    <row r="22" spans="1:4" x14ac:dyDescent="0.35">
      <c r="A22" s="3" t="s">
        <v>46</v>
      </c>
      <c r="B22" s="11" t="s">
        <v>47</v>
      </c>
      <c r="D22" s="11">
        <v>532</v>
      </c>
    </row>
    <row r="23" spans="1:4" x14ac:dyDescent="0.35">
      <c r="A23" s="3" t="s">
        <v>50</v>
      </c>
      <c r="B23" s="11" t="s">
        <v>53</v>
      </c>
      <c r="C23" s="11">
        <v>3</v>
      </c>
      <c r="D23" s="11">
        <v>15</v>
      </c>
    </row>
    <row r="24" spans="1:4" x14ac:dyDescent="0.35">
      <c r="A24" s="3" t="s">
        <v>50</v>
      </c>
      <c r="B24" s="11" t="s">
        <v>52</v>
      </c>
      <c r="C24" s="11">
        <v>3</v>
      </c>
      <c r="D24" s="11">
        <v>255</v>
      </c>
    </row>
    <row r="25" spans="1:4" x14ac:dyDescent="0.35">
      <c r="A25" s="3" t="s">
        <v>50</v>
      </c>
      <c r="B25" s="11" t="s">
        <v>51</v>
      </c>
      <c r="D25" s="11">
        <v>435</v>
      </c>
    </row>
    <row r="26" spans="1:4" x14ac:dyDescent="0.35">
      <c r="A26" s="3" t="s">
        <v>54</v>
      </c>
      <c r="B26" s="11" t="s">
        <v>57</v>
      </c>
      <c r="C26" s="11">
        <v>3</v>
      </c>
      <c r="D26" s="11">
        <v>52</v>
      </c>
    </row>
    <row r="27" spans="1:4" x14ac:dyDescent="0.35">
      <c r="A27" s="3" t="s">
        <v>54</v>
      </c>
      <c r="B27" s="11" t="s">
        <v>56</v>
      </c>
      <c r="C27" s="11">
        <v>3</v>
      </c>
      <c r="D27" s="11">
        <v>252</v>
      </c>
    </row>
    <row r="28" spans="1:4" x14ac:dyDescent="0.35">
      <c r="A28" s="3" t="s">
        <v>54</v>
      </c>
      <c r="B28" s="11" t="s">
        <v>55</v>
      </c>
      <c r="D28" s="11">
        <v>1290</v>
      </c>
    </row>
    <row r="29" spans="1:4" x14ac:dyDescent="0.35">
      <c r="A29" s="3" t="s">
        <v>60</v>
      </c>
      <c r="B29" s="11" t="s">
        <v>123</v>
      </c>
      <c r="C29" s="11">
        <v>3</v>
      </c>
      <c r="D29" s="11">
        <v>45</v>
      </c>
    </row>
    <row r="30" spans="1:4" x14ac:dyDescent="0.35">
      <c r="A30" s="3" t="s">
        <v>60</v>
      </c>
      <c r="B30" s="11" t="s">
        <v>59</v>
      </c>
      <c r="C30" s="11">
        <v>3</v>
      </c>
      <c r="D30" s="11">
        <v>159</v>
      </c>
    </row>
    <row r="31" spans="1:4" x14ac:dyDescent="0.35">
      <c r="A31" s="3" t="s">
        <v>60</v>
      </c>
      <c r="B31" s="11" t="s">
        <v>58</v>
      </c>
      <c r="D31" s="11">
        <v>654</v>
      </c>
    </row>
    <row r="32" spans="1:4" x14ac:dyDescent="0.35">
      <c r="A32" s="3" t="s">
        <v>61</v>
      </c>
      <c r="B32" s="11" t="s">
        <v>21</v>
      </c>
      <c r="C32" s="11">
        <v>3</v>
      </c>
      <c r="D32" s="11">
        <v>112</v>
      </c>
    </row>
    <row r="33" spans="1:9" x14ac:dyDescent="0.35">
      <c r="A33" s="3" t="s">
        <v>61</v>
      </c>
      <c r="B33" s="11" t="s">
        <v>20</v>
      </c>
      <c r="C33" s="11">
        <v>3</v>
      </c>
      <c r="D33" s="11">
        <v>567</v>
      </c>
    </row>
    <row r="34" spans="1:9" x14ac:dyDescent="0.35">
      <c r="A34" s="3" t="s">
        <v>61</v>
      </c>
      <c r="B34" s="11" t="s">
        <v>19</v>
      </c>
      <c r="D34" s="11">
        <v>2143</v>
      </c>
    </row>
    <row r="35" spans="1:9" x14ac:dyDescent="0.35">
      <c r="A35" s="3" t="s">
        <v>62</v>
      </c>
      <c r="B35" s="11" t="s">
        <v>65</v>
      </c>
      <c r="C35" s="11">
        <v>3</v>
      </c>
      <c r="D35" s="11">
        <v>41</v>
      </c>
    </row>
    <row r="36" spans="1:9" x14ac:dyDescent="0.35">
      <c r="A36" s="3" t="s">
        <v>62</v>
      </c>
      <c r="B36" s="11" t="s">
        <v>64</v>
      </c>
      <c r="C36" s="11">
        <v>3</v>
      </c>
      <c r="D36" s="11">
        <v>442</v>
      </c>
    </row>
    <row r="37" spans="1:9" x14ac:dyDescent="0.35">
      <c r="A37" s="3" t="s">
        <v>62</v>
      </c>
      <c r="B37" s="11" t="s">
        <v>63</v>
      </c>
      <c r="D37" s="11">
        <v>2072</v>
      </c>
    </row>
    <row r="38" spans="1:9" ht="42.6" x14ac:dyDescent="0.35">
      <c r="A38" s="3" t="s">
        <v>528</v>
      </c>
      <c r="B38" s="11" t="s">
        <v>527</v>
      </c>
      <c r="C38" s="11">
        <v>3</v>
      </c>
      <c r="D38" s="11">
        <v>0</v>
      </c>
      <c r="E38">
        <v>96</v>
      </c>
      <c r="F38" s="17">
        <v>96</v>
      </c>
      <c r="H38" s="22" t="s">
        <v>685</v>
      </c>
      <c r="I38" s="22" t="s">
        <v>688</v>
      </c>
    </row>
    <row r="39" spans="1:9" ht="42.6" x14ac:dyDescent="0.35">
      <c r="A39" s="3" t="s">
        <v>528</v>
      </c>
      <c r="B39" s="11" t="s">
        <v>530</v>
      </c>
      <c r="C39" s="11">
        <v>3</v>
      </c>
      <c r="D39" s="11">
        <v>0</v>
      </c>
      <c r="E39">
        <v>119</v>
      </c>
      <c r="F39" s="17">
        <v>119</v>
      </c>
      <c r="H39" s="22" t="s">
        <v>685</v>
      </c>
      <c r="I39" s="22" t="s">
        <v>687</v>
      </c>
    </row>
    <row r="40" spans="1:9" ht="42.6" x14ac:dyDescent="0.35">
      <c r="A40" s="3" t="s">
        <v>528</v>
      </c>
      <c r="B40" s="11" t="s">
        <v>529</v>
      </c>
      <c r="D40" s="11">
        <v>0</v>
      </c>
      <c r="E40">
        <v>51</v>
      </c>
      <c r="F40" s="17">
        <v>51</v>
      </c>
      <c r="H40" s="22" t="s">
        <v>685</v>
      </c>
      <c r="I40" s="22" t="s">
        <v>686</v>
      </c>
    </row>
    <row r="41" spans="1:9" x14ac:dyDescent="0.35">
      <c r="A41" s="3" t="s">
        <v>544</v>
      </c>
      <c r="B41" s="11" t="s">
        <v>547</v>
      </c>
      <c r="C41" s="11">
        <v>3</v>
      </c>
      <c r="D41" s="11">
        <v>0</v>
      </c>
      <c r="E41">
        <v>41</v>
      </c>
      <c r="F41" s="17">
        <v>41</v>
      </c>
      <c r="G41" s="14"/>
      <c r="H41" s="14" t="s">
        <v>684</v>
      </c>
      <c r="I41" s="14">
        <v>41</v>
      </c>
    </row>
    <row r="42" spans="1:9" x14ac:dyDescent="0.35">
      <c r="A42" s="3" t="s">
        <v>544</v>
      </c>
      <c r="B42" s="11" t="s">
        <v>546</v>
      </c>
      <c r="C42" s="11">
        <v>3</v>
      </c>
      <c r="D42" s="11">
        <v>0</v>
      </c>
      <c r="E42">
        <v>27</v>
      </c>
      <c r="F42" s="17">
        <v>27</v>
      </c>
      <c r="G42" s="14"/>
      <c r="H42" s="14" t="s">
        <v>684</v>
      </c>
      <c r="I42" s="14">
        <v>27</v>
      </c>
    </row>
    <row r="43" spans="1:9" x14ac:dyDescent="0.35">
      <c r="A43" s="3" t="s">
        <v>543</v>
      </c>
      <c r="B43" s="11" t="s">
        <v>545</v>
      </c>
      <c r="D43" s="11">
        <v>0</v>
      </c>
      <c r="E43">
        <v>23</v>
      </c>
      <c r="F43" s="17">
        <v>23</v>
      </c>
      <c r="G43" s="14"/>
      <c r="H43" s="14" t="s">
        <v>684</v>
      </c>
      <c r="I43" s="14">
        <v>23</v>
      </c>
    </row>
    <row r="44" spans="1:9" x14ac:dyDescent="0.35">
      <c r="A44" s="3" t="s">
        <v>558</v>
      </c>
      <c r="B44" s="11" t="s">
        <v>559</v>
      </c>
      <c r="C44" s="11">
        <v>3</v>
      </c>
      <c r="D44" s="11">
        <v>0</v>
      </c>
      <c r="G44" s="14"/>
    </row>
    <row r="45" spans="1:9" x14ac:dyDescent="0.35">
      <c r="A45" s="3" t="s">
        <v>558</v>
      </c>
      <c r="B45" s="11" t="s">
        <v>573</v>
      </c>
      <c r="C45" s="11">
        <v>3</v>
      </c>
      <c r="D45" s="11">
        <v>0</v>
      </c>
      <c r="G45" s="14"/>
    </row>
    <row r="46" spans="1:9" ht="16.2" thickBot="1" x14ac:dyDescent="0.4">
      <c r="A46" s="3" t="s">
        <v>558</v>
      </c>
      <c r="B46" s="11" t="s">
        <v>560</v>
      </c>
      <c r="D46" s="11">
        <v>0</v>
      </c>
      <c r="G46" s="14"/>
    </row>
    <row r="47" spans="1:9" s="20" customFormat="1" ht="16.2" thickTop="1" x14ac:dyDescent="0.35">
      <c r="A47" s="18" t="s">
        <v>264</v>
      </c>
      <c r="B47" s="19"/>
      <c r="C47" s="19"/>
      <c r="D47" s="19">
        <v>21</v>
      </c>
      <c r="E47"/>
      <c r="F47" s="14"/>
      <c r="G47" s="21"/>
      <c r="H47" s="14"/>
      <c r="I47" s="14"/>
    </row>
    <row r="48" spans="1:9" x14ac:dyDescent="0.35">
      <c r="A48" s="3" t="s">
        <v>268</v>
      </c>
      <c r="D48" s="11">
        <v>11</v>
      </c>
    </row>
    <row r="49" spans="1:11" x14ac:dyDescent="0.35">
      <c r="A49" s="3" t="s">
        <v>267</v>
      </c>
      <c r="D49" s="11">
        <v>30</v>
      </c>
    </row>
    <row r="50" spans="1:11" x14ac:dyDescent="0.35">
      <c r="A50" s="3" t="s">
        <v>266</v>
      </c>
      <c r="D50" s="11">
        <v>10</v>
      </c>
    </row>
    <row r="51" spans="1:11" x14ac:dyDescent="0.35">
      <c r="A51" s="3" t="s">
        <v>355</v>
      </c>
      <c r="D51" s="11">
        <v>21</v>
      </c>
    </row>
    <row r="52" spans="1:11" x14ac:dyDescent="0.35">
      <c r="A52" s="3" t="s">
        <v>269</v>
      </c>
      <c r="D52" s="11">
        <v>13</v>
      </c>
    </row>
    <row r="53" spans="1:11" x14ac:dyDescent="0.35">
      <c r="A53" s="3" t="s">
        <v>395</v>
      </c>
      <c r="D53" s="11">
        <v>27</v>
      </c>
    </row>
    <row r="54" spans="1:11" x14ac:dyDescent="0.35">
      <c r="A54" s="3" t="s">
        <v>391</v>
      </c>
      <c r="D54" s="11">
        <v>6</v>
      </c>
    </row>
    <row r="55" spans="1:11" x14ac:dyDescent="0.35">
      <c r="A55" s="3" t="s">
        <v>396</v>
      </c>
      <c r="D55" s="11">
        <v>11</v>
      </c>
    </row>
    <row r="56" spans="1:11" x14ac:dyDescent="0.35">
      <c r="A56" s="3" t="s">
        <v>517</v>
      </c>
      <c r="D56" s="11">
        <v>1</v>
      </c>
    </row>
    <row r="57" spans="1:11" x14ac:dyDescent="0.35">
      <c r="A57" s="3" t="s">
        <v>513</v>
      </c>
      <c r="D57" s="11">
        <v>12</v>
      </c>
      <c r="E57">
        <v>12</v>
      </c>
      <c r="F57" s="14" t="s">
        <v>519</v>
      </c>
      <c r="H57" s="14" t="s">
        <v>572</v>
      </c>
      <c r="I57" s="14">
        <v>12</v>
      </c>
    </row>
    <row r="58" spans="1:11" ht="16.2" thickBot="1" x14ac:dyDescent="0.4">
      <c r="A58" s="3" t="s">
        <v>523</v>
      </c>
      <c r="D58" s="11">
        <v>1</v>
      </c>
    </row>
    <row r="59" spans="1:11" s="20" customFormat="1" ht="16.2" thickTop="1" x14ac:dyDescent="0.35">
      <c r="A59" s="18" t="s">
        <v>67</v>
      </c>
      <c r="B59" s="19"/>
      <c r="C59" s="19"/>
      <c r="D59" s="19">
        <v>1</v>
      </c>
      <c r="E59"/>
      <c r="F59" s="14"/>
      <c r="G59" s="21"/>
      <c r="H59" s="14"/>
      <c r="I59" s="14"/>
      <c r="J59" s="45" t="str">
        <f>IF(F59&gt;0,F59/掉落期望!C2,"")</f>
        <v/>
      </c>
      <c r="K59" t="str">
        <f t="shared" ref="K59:K67" si="0">IF(F59&gt;0,J59*40,"")</f>
        <v/>
      </c>
    </row>
    <row r="60" spans="1:11" x14ac:dyDescent="0.35">
      <c r="A60" s="3" t="s">
        <v>68</v>
      </c>
      <c r="D60" s="11">
        <v>0</v>
      </c>
      <c r="J60" s="45" t="str">
        <f>IF(F60&gt;0,F60/掉落期望!C2,"")</f>
        <v/>
      </c>
      <c r="K60" t="str">
        <f t="shared" si="0"/>
        <v/>
      </c>
    </row>
    <row r="61" spans="1:11" x14ac:dyDescent="0.35">
      <c r="A61" s="3" t="s">
        <v>69</v>
      </c>
      <c r="D61" s="11">
        <v>6</v>
      </c>
      <c r="J61" s="45" t="str">
        <f>IF(F61&gt;0,F61/掉落期望!C2,"")</f>
        <v/>
      </c>
      <c r="K61" t="str">
        <f t="shared" si="0"/>
        <v/>
      </c>
    </row>
    <row r="62" spans="1:11" x14ac:dyDescent="0.35">
      <c r="A62" s="3" t="s">
        <v>74</v>
      </c>
      <c r="D62" s="11">
        <v>1</v>
      </c>
      <c r="J62" s="45" t="str">
        <f>IF(F62&gt;0,F62/掉落期望!C2,"")</f>
        <v/>
      </c>
      <c r="K62" t="str">
        <f t="shared" si="0"/>
        <v/>
      </c>
    </row>
    <row r="63" spans="1:11" x14ac:dyDescent="0.35">
      <c r="A63" s="3" t="s">
        <v>18</v>
      </c>
      <c r="D63" s="11">
        <v>27</v>
      </c>
      <c r="J63" s="45" t="str">
        <f>IF(F63&gt;0,F63/掉落期望!C2,"")</f>
        <v/>
      </c>
      <c r="K63" t="str">
        <f t="shared" si="0"/>
        <v/>
      </c>
    </row>
    <row r="64" spans="1:11" x14ac:dyDescent="0.35">
      <c r="A64" s="3" t="s">
        <v>70</v>
      </c>
      <c r="D64" s="11">
        <v>0</v>
      </c>
      <c r="J64" s="45" t="str">
        <f>IF(F64&gt;0,F64/掉落期望!C2,"")</f>
        <v/>
      </c>
      <c r="K64" t="str">
        <f t="shared" si="0"/>
        <v/>
      </c>
    </row>
    <row r="65" spans="1:11" x14ac:dyDescent="0.35">
      <c r="A65" s="3" t="s">
        <v>469</v>
      </c>
      <c r="D65" s="11">
        <v>13</v>
      </c>
      <c r="J65" s="45" t="str">
        <f>IF(F65&gt;0,F65/掉落期望!C2,"")</f>
        <v/>
      </c>
      <c r="K65" t="str">
        <f t="shared" si="0"/>
        <v/>
      </c>
    </row>
    <row r="66" spans="1:11" x14ac:dyDescent="0.35">
      <c r="A66" s="3" t="s">
        <v>516</v>
      </c>
      <c r="D66" s="11">
        <v>23</v>
      </c>
      <c r="J66" s="45" t="str">
        <f>IF(F66&gt;0,F66/掉落期望!C2,"")</f>
        <v/>
      </c>
      <c r="K66" t="str">
        <f t="shared" si="0"/>
        <v/>
      </c>
    </row>
    <row r="67" spans="1:11" x14ac:dyDescent="0.35">
      <c r="A67" s="3" t="s">
        <v>535</v>
      </c>
      <c r="D67" s="11">
        <v>0</v>
      </c>
      <c r="J67" s="45" t="str">
        <f>IF(F67&gt;0,F67/掉落期望!C2,"")</f>
        <v/>
      </c>
      <c r="K67" t="str">
        <f t="shared" si="0"/>
        <v/>
      </c>
    </row>
    <row r="68" spans="1:11" x14ac:dyDescent="0.35">
      <c r="A68" s="3" t="s">
        <v>525</v>
      </c>
      <c r="D68" s="11">
        <v>0</v>
      </c>
      <c r="E68">
        <v>46</v>
      </c>
      <c r="F68" s="17">
        <v>46</v>
      </c>
      <c r="H68" s="14" t="s">
        <v>521</v>
      </c>
      <c r="I68" s="14">
        <v>46</v>
      </c>
      <c r="J68" s="45">
        <f>IF(F68&gt;0,F68/掉落期望!C2,"")</f>
        <v>18.03921568627451</v>
      </c>
      <c r="K68" s="45">
        <f>IF(F68&gt;0,J68*40,"")</f>
        <v>721.56862745098033</v>
      </c>
    </row>
    <row r="69" spans="1:11" x14ac:dyDescent="0.35">
      <c r="A69" s="3" t="s">
        <v>532</v>
      </c>
      <c r="D69" s="11">
        <v>0</v>
      </c>
      <c r="G69" s="14"/>
      <c r="J69" s="45" t="str">
        <f>IF(F69&gt;0,F69/掉落期望!C2,"")</f>
        <v/>
      </c>
      <c r="K69" t="str">
        <f>IF(F69&gt;0,J69*40,"")</f>
        <v/>
      </c>
    </row>
    <row r="70" spans="1:11" x14ac:dyDescent="0.35">
      <c r="A70" s="3" t="s">
        <v>75</v>
      </c>
      <c r="B70" s="11" t="s">
        <v>125</v>
      </c>
      <c r="C70" s="11">
        <v>3</v>
      </c>
      <c r="D70" s="11">
        <v>25</v>
      </c>
    </row>
    <row r="71" spans="1:11" x14ac:dyDescent="0.35">
      <c r="A71" s="3" t="s">
        <v>75</v>
      </c>
      <c r="B71" s="11" t="s">
        <v>77</v>
      </c>
      <c r="C71" s="11">
        <v>3</v>
      </c>
      <c r="D71" s="11">
        <v>247</v>
      </c>
    </row>
    <row r="72" spans="1:11" x14ac:dyDescent="0.35">
      <c r="A72" s="3" t="s">
        <v>75</v>
      </c>
      <c r="B72" s="11" t="s">
        <v>76</v>
      </c>
      <c r="D72" s="11">
        <v>1307</v>
      </c>
    </row>
    <row r="73" spans="1:11" x14ac:dyDescent="0.35">
      <c r="A73" s="3" t="s">
        <v>78</v>
      </c>
      <c r="B73" s="11" t="s">
        <v>79</v>
      </c>
      <c r="C73" s="11">
        <v>3</v>
      </c>
      <c r="D73" s="11">
        <v>46</v>
      </c>
    </row>
    <row r="74" spans="1:11" x14ac:dyDescent="0.35">
      <c r="A74" s="3" t="s">
        <v>78</v>
      </c>
      <c r="B74" s="11" t="s">
        <v>80</v>
      </c>
      <c r="C74" s="11">
        <v>3</v>
      </c>
      <c r="D74" s="11">
        <v>223</v>
      </c>
    </row>
    <row r="75" spans="1:11" ht="16.2" thickBot="1" x14ac:dyDescent="0.4">
      <c r="A75" s="3" t="s">
        <v>78</v>
      </c>
      <c r="B75" s="11" t="s">
        <v>81</v>
      </c>
      <c r="D75" s="11">
        <v>1012</v>
      </c>
    </row>
    <row r="76" spans="1:11" s="20" customFormat="1" ht="16.2" thickTop="1" x14ac:dyDescent="0.35">
      <c r="A76" s="18" t="s">
        <v>22</v>
      </c>
      <c r="B76" s="19" t="str">
        <f>A76</f>
        <v>燃愿玛瑙</v>
      </c>
      <c r="C76" s="19">
        <v>3</v>
      </c>
      <c r="D76" s="19">
        <v>1</v>
      </c>
      <c r="E76"/>
      <c r="F76" s="14"/>
      <c r="G76" s="21"/>
      <c r="H76" s="14"/>
      <c r="I76" s="14"/>
    </row>
    <row r="77" spans="1:11" x14ac:dyDescent="0.35">
      <c r="A77" s="3" t="s">
        <v>22</v>
      </c>
      <c r="B77" s="11" t="str">
        <f>A77&amp;"块"</f>
        <v>燃愿玛瑙块</v>
      </c>
      <c r="C77" s="11">
        <v>3</v>
      </c>
      <c r="D77" s="11">
        <v>0</v>
      </c>
    </row>
    <row r="78" spans="1:11" x14ac:dyDescent="0.35">
      <c r="A78" s="3" t="s">
        <v>22</v>
      </c>
      <c r="B78" s="11" t="str">
        <f>A77&amp;"断片"</f>
        <v>燃愿玛瑙断片</v>
      </c>
      <c r="C78" s="11">
        <v>3</v>
      </c>
      <c r="D78" s="11">
        <v>13</v>
      </c>
    </row>
    <row r="79" spans="1:11" x14ac:dyDescent="0.35">
      <c r="A79" s="3" t="s">
        <v>22</v>
      </c>
      <c r="B79" s="11" t="str">
        <f>A79&amp;"碎屑"</f>
        <v>燃愿玛瑙碎屑</v>
      </c>
      <c r="D79" s="11">
        <v>15</v>
      </c>
    </row>
    <row r="80" spans="1:11" x14ac:dyDescent="0.35">
      <c r="A80" s="3" t="s">
        <v>82</v>
      </c>
      <c r="B80" s="11" t="str">
        <f>A80</f>
        <v>涤净青金</v>
      </c>
      <c r="C80" s="11">
        <v>3</v>
      </c>
      <c r="D80" s="11">
        <v>0</v>
      </c>
    </row>
    <row r="81" spans="1:9" x14ac:dyDescent="0.35">
      <c r="A81" s="3" t="s">
        <v>82</v>
      </c>
      <c r="B81" s="11" t="str">
        <f>A81&amp;"块"</f>
        <v>涤净青金块</v>
      </c>
      <c r="C81" s="11">
        <v>3</v>
      </c>
      <c r="D81" s="11">
        <v>7</v>
      </c>
    </row>
    <row r="82" spans="1:9" x14ac:dyDescent="0.35">
      <c r="A82" s="3" t="s">
        <v>82</v>
      </c>
      <c r="B82" s="11" t="str">
        <f>A81&amp;"断片"</f>
        <v>涤净青金断片</v>
      </c>
      <c r="C82" s="11">
        <v>3</v>
      </c>
      <c r="D82" s="11">
        <v>33</v>
      </c>
    </row>
    <row r="83" spans="1:9" x14ac:dyDescent="0.35">
      <c r="A83" s="3" t="s">
        <v>82</v>
      </c>
      <c r="B83" s="11" t="str">
        <f>A83&amp;"碎屑"</f>
        <v>涤净青金碎屑</v>
      </c>
      <c r="D83" s="11">
        <v>53</v>
      </c>
    </row>
    <row r="84" spans="1:9" x14ac:dyDescent="0.35">
      <c r="A84" s="3" t="s">
        <v>83</v>
      </c>
      <c r="B84" s="11" t="str">
        <f>A84</f>
        <v>最胜紫晶</v>
      </c>
      <c r="C84" s="11">
        <v>3</v>
      </c>
      <c r="D84" s="11">
        <v>2</v>
      </c>
    </row>
    <row r="85" spans="1:9" x14ac:dyDescent="0.35">
      <c r="A85" s="3" t="s">
        <v>83</v>
      </c>
      <c r="B85" s="11" t="str">
        <f>A85&amp;"块"</f>
        <v>最胜紫晶块</v>
      </c>
      <c r="C85" s="11">
        <v>3</v>
      </c>
      <c r="D85" s="11">
        <v>1</v>
      </c>
    </row>
    <row r="86" spans="1:9" x14ac:dyDescent="0.35">
      <c r="A86" s="3" t="s">
        <v>83</v>
      </c>
      <c r="B86" s="11" t="str">
        <f>A85&amp;"断片"</f>
        <v>最胜紫晶断片</v>
      </c>
      <c r="C86" s="11">
        <v>3</v>
      </c>
      <c r="D86" s="11">
        <v>69</v>
      </c>
    </row>
    <row r="87" spans="1:9" x14ac:dyDescent="0.35">
      <c r="A87" s="3" t="s">
        <v>83</v>
      </c>
      <c r="B87" s="11" t="str">
        <f>A87&amp;"碎屑"</f>
        <v>最胜紫晶碎屑</v>
      </c>
      <c r="D87" s="11">
        <v>9</v>
      </c>
    </row>
    <row r="88" spans="1:9" x14ac:dyDescent="0.35">
      <c r="A88" s="3" t="s">
        <v>84</v>
      </c>
      <c r="B88" s="11" t="str">
        <f>A88</f>
        <v>自在松石</v>
      </c>
      <c r="C88" s="11">
        <v>3</v>
      </c>
      <c r="D88" s="11">
        <v>0</v>
      </c>
    </row>
    <row r="89" spans="1:9" x14ac:dyDescent="0.35">
      <c r="A89" s="3" t="s">
        <v>84</v>
      </c>
      <c r="B89" s="11" t="str">
        <f>A89&amp;"块"</f>
        <v>自在松石块</v>
      </c>
      <c r="C89" s="11">
        <v>3</v>
      </c>
      <c r="D89" s="11">
        <v>0</v>
      </c>
    </row>
    <row r="90" spans="1:9" x14ac:dyDescent="0.35">
      <c r="A90" s="3" t="s">
        <v>84</v>
      </c>
      <c r="B90" s="11" t="str">
        <f>A89&amp;"断片"</f>
        <v>自在松石断片</v>
      </c>
      <c r="C90" s="11">
        <v>3</v>
      </c>
      <c r="D90" s="11">
        <v>25</v>
      </c>
    </row>
    <row r="91" spans="1:9" x14ac:dyDescent="0.35">
      <c r="A91" s="3" t="s">
        <v>84</v>
      </c>
      <c r="B91" s="11" t="str">
        <f>A91&amp;"碎屑"</f>
        <v>自在松石碎屑</v>
      </c>
      <c r="D91" s="11">
        <v>67</v>
      </c>
    </row>
    <row r="92" spans="1:9" x14ac:dyDescent="0.35">
      <c r="A92" s="3" t="s">
        <v>85</v>
      </c>
      <c r="B92" s="11" t="str">
        <f>A92</f>
        <v>哀叙冰玉</v>
      </c>
      <c r="C92" s="11">
        <v>3</v>
      </c>
      <c r="D92" s="11">
        <v>0</v>
      </c>
      <c r="E92">
        <v>6</v>
      </c>
      <c r="F92" s="14" t="s">
        <v>524</v>
      </c>
      <c r="H92" s="14" t="s">
        <v>521</v>
      </c>
      <c r="I92" s="14">
        <v>6</v>
      </c>
    </row>
    <row r="93" spans="1:9" x14ac:dyDescent="0.35">
      <c r="A93" s="3" t="s">
        <v>85</v>
      </c>
      <c r="B93" s="11" t="str">
        <f>A93&amp;"块"</f>
        <v>哀叙冰玉块</v>
      </c>
      <c r="C93" s="11">
        <v>3</v>
      </c>
      <c r="D93" s="11">
        <v>4</v>
      </c>
      <c r="E93">
        <v>9</v>
      </c>
      <c r="F93" s="14" t="s">
        <v>682</v>
      </c>
      <c r="H93" s="14" t="s">
        <v>521</v>
      </c>
      <c r="I93" s="14">
        <v>9</v>
      </c>
    </row>
    <row r="94" spans="1:9" x14ac:dyDescent="0.35">
      <c r="A94" s="3" t="s">
        <v>85</v>
      </c>
      <c r="B94" s="11" t="str">
        <f>A93&amp;"断片"</f>
        <v>哀叙冰玉断片</v>
      </c>
      <c r="C94" s="11">
        <v>3</v>
      </c>
      <c r="D94" s="11">
        <v>79</v>
      </c>
      <c r="E94">
        <v>9</v>
      </c>
      <c r="F94" s="14" t="s">
        <v>519</v>
      </c>
      <c r="H94" s="14" t="s">
        <v>521</v>
      </c>
      <c r="I94" s="14">
        <v>9</v>
      </c>
    </row>
    <row r="95" spans="1:9" x14ac:dyDescent="0.35">
      <c r="A95" s="3" t="s">
        <v>85</v>
      </c>
      <c r="B95" s="11" t="str">
        <f>A95&amp;"碎屑"</f>
        <v>哀叙冰玉碎屑</v>
      </c>
      <c r="D95" s="11">
        <v>109</v>
      </c>
      <c r="E95">
        <v>1</v>
      </c>
      <c r="F95" s="14" t="s">
        <v>519</v>
      </c>
      <c r="H95" s="14" t="s">
        <v>521</v>
      </c>
      <c r="I95" s="14">
        <v>1</v>
      </c>
    </row>
    <row r="96" spans="1:9" x14ac:dyDescent="0.35">
      <c r="A96" s="3" t="s">
        <v>86</v>
      </c>
      <c r="B96" s="11" t="str">
        <f>A96</f>
        <v>坚牢黄玉</v>
      </c>
      <c r="C96" s="11">
        <v>3</v>
      </c>
      <c r="D96" s="11">
        <v>0</v>
      </c>
    </row>
    <row r="97" spans="1:9" x14ac:dyDescent="0.35">
      <c r="A97" s="3" t="s">
        <v>86</v>
      </c>
      <c r="B97" s="11" t="str">
        <f>A97&amp;"块"</f>
        <v>坚牢黄玉块</v>
      </c>
      <c r="C97" s="11">
        <v>3</v>
      </c>
      <c r="D97" s="11">
        <v>1</v>
      </c>
    </row>
    <row r="98" spans="1:9" x14ac:dyDescent="0.35">
      <c r="A98" s="3" t="s">
        <v>86</v>
      </c>
      <c r="B98" s="11" t="str">
        <f>A97&amp;"断片"</f>
        <v>坚牢黄玉断片</v>
      </c>
      <c r="C98" s="11">
        <v>3</v>
      </c>
      <c r="D98" s="11">
        <v>59</v>
      </c>
    </row>
    <row r="99" spans="1:9" ht="16.2" thickBot="1" x14ac:dyDescent="0.4">
      <c r="A99" s="3" t="s">
        <v>86</v>
      </c>
      <c r="B99" s="11" t="str">
        <f>A99&amp;"碎屑"</f>
        <v>坚牢黄玉碎屑</v>
      </c>
      <c r="D99" s="11">
        <v>49</v>
      </c>
    </row>
    <row r="100" spans="1:9" s="20" customFormat="1" ht="16.2" thickTop="1" x14ac:dyDescent="0.35">
      <c r="A100" s="18" t="s">
        <v>87</v>
      </c>
      <c r="B100" s="19" t="str">
        <f>A100&amp;"的哲学"</f>
        <v>自由的哲学</v>
      </c>
      <c r="C100" s="19">
        <v>3</v>
      </c>
      <c r="D100" s="19">
        <v>0</v>
      </c>
      <c r="E100"/>
      <c r="F100" s="14"/>
      <c r="G100" s="21" t="s">
        <v>364</v>
      </c>
      <c r="H100" s="14"/>
      <c r="I100" s="14"/>
    </row>
    <row r="101" spans="1:9" x14ac:dyDescent="0.35">
      <c r="A101" s="3" t="s">
        <v>87</v>
      </c>
      <c r="B101" s="11" t="str">
        <f>A101&amp;"的指引"</f>
        <v>自由的指引</v>
      </c>
      <c r="C101" s="11">
        <v>3</v>
      </c>
      <c r="D101" s="11">
        <v>15</v>
      </c>
      <c r="G101" s="2" t="s">
        <v>364</v>
      </c>
    </row>
    <row r="102" spans="1:9" x14ac:dyDescent="0.35">
      <c r="A102" s="3" t="s">
        <v>87</v>
      </c>
      <c r="B102" s="11" t="str">
        <f>A102&amp;"的教导"</f>
        <v>自由的教导</v>
      </c>
      <c r="D102" s="11">
        <v>10</v>
      </c>
      <c r="G102" s="2" t="s">
        <v>364</v>
      </c>
    </row>
    <row r="103" spans="1:9" x14ac:dyDescent="0.35">
      <c r="A103" s="3" t="s">
        <v>88</v>
      </c>
      <c r="B103" s="11" t="str">
        <f>A103&amp;"的哲学"</f>
        <v>抗争的哲学</v>
      </c>
      <c r="C103" s="11">
        <v>3</v>
      </c>
      <c r="D103" s="11">
        <v>7</v>
      </c>
      <c r="G103" s="2" t="s">
        <v>365</v>
      </c>
    </row>
    <row r="104" spans="1:9" x14ac:dyDescent="0.35">
      <c r="A104" s="3" t="s">
        <v>88</v>
      </c>
      <c r="B104" s="11" t="str">
        <f>A104&amp;"的指引"</f>
        <v>抗争的指引</v>
      </c>
      <c r="C104" s="11">
        <v>3</v>
      </c>
      <c r="D104" s="11">
        <v>36</v>
      </c>
      <c r="G104" s="2" t="s">
        <v>365</v>
      </c>
    </row>
    <row r="105" spans="1:9" x14ac:dyDescent="0.35">
      <c r="A105" s="3" t="s">
        <v>88</v>
      </c>
      <c r="B105" s="11" t="str">
        <f>A105&amp;"的教导"</f>
        <v>抗争的教导</v>
      </c>
      <c r="D105" s="11">
        <v>10</v>
      </c>
      <c r="G105" s="2" t="s">
        <v>365</v>
      </c>
    </row>
    <row r="106" spans="1:9" x14ac:dyDescent="0.35">
      <c r="A106" s="3" t="s">
        <v>89</v>
      </c>
      <c r="B106" s="11" t="str">
        <f>A106&amp;"的哲学"</f>
        <v>诗文的哲学</v>
      </c>
      <c r="C106" s="11">
        <v>3</v>
      </c>
      <c r="D106" s="11">
        <v>0</v>
      </c>
      <c r="G106" s="2" t="s">
        <v>366</v>
      </c>
    </row>
    <row r="107" spans="1:9" x14ac:dyDescent="0.35">
      <c r="A107" s="3" t="s">
        <v>89</v>
      </c>
      <c r="B107" s="11" t="str">
        <f>A107&amp;"的指引"</f>
        <v>诗文的指引</v>
      </c>
      <c r="C107" s="11">
        <v>3</v>
      </c>
      <c r="D107" s="11">
        <v>3</v>
      </c>
      <c r="G107" s="2" t="s">
        <v>366</v>
      </c>
    </row>
    <row r="108" spans="1:9" x14ac:dyDescent="0.35">
      <c r="A108" s="3" t="s">
        <v>89</v>
      </c>
      <c r="B108" s="11" t="str">
        <f>A108&amp;"的教导"</f>
        <v>诗文的教导</v>
      </c>
      <c r="D108" s="11">
        <v>12</v>
      </c>
      <c r="G108" s="2" t="s">
        <v>366</v>
      </c>
    </row>
    <row r="109" spans="1:9" x14ac:dyDescent="0.35">
      <c r="A109" s="3" t="s">
        <v>90</v>
      </c>
      <c r="B109" s="11" t="str">
        <f>A109&amp;"的哲学"</f>
        <v>繁荣的哲学</v>
      </c>
      <c r="C109" s="11">
        <v>3</v>
      </c>
      <c r="D109" s="11">
        <v>4</v>
      </c>
      <c r="G109" s="2" t="s">
        <v>364</v>
      </c>
    </row>
    <row r="110" spans="1:9" x14ac:dyDescent="0.35">
      <c r="A110" s="3" t="s">
        <v>90</v>
      </c>
      <c r="B110" s="11" t="str">
        <f>A110&amp;"的指引"</f>
        <v>繁荣的指引</v>
      </c>
      <c r="C110" s="11">
        <v>3</v>
      </c>
      <c r="D110" s="11">
        <v>33</v>
      </c>
      <c r="G110" s="2" t="s">
        <v>364</v>
      </c>
    </row>
    <row r="111" spans="1:9" x14ac:dyDescent="0.35">
      <c r="A111" s="3" t="s">
        <v>90</v>
      </c>
      <c r="B111" s="11" t="str">
        <f>A111&amp;"的教导"</f>
        <v>繁荣的教导</v>
      </c>
      <c r="D111" s="11">
        <v>39</v>
      </c>
      <c r="G111" s="2" t="s">
        <v>364</v>
      </c>
    </row>
    <row r="112" spans="1:9" x14ac:dyDescent="0.35">
      <c r="A112" s="3" t="s">
        <v>91</v>
      </c>
      <c r="B112" s="11" t="str">
        <f>A112&amp;"的哲学"</f>
        <v>勤劳的哲学</v>
      </c>
      <c r="C112" s="11">
        <v>3</v>
      </c>
      <c r="D112" s="11">
        <v>3</v>
      </c>
      <c r="G112" s="2" t="s">
        <v>365</v>
      </c>
    </row>
    <row r="113" spans="1:16" x14ac:dyDescent="0.35">
      <c r="A113" s="3" t="s">
        <v>91</v>
      </c>
      <c r="B113" s="11" t="str">
        <f>A113&amp;"的指引"</f>
        <v>勤劳的指引</v>
      </c>
      <c r="C113" s="11">
        <v>3</v>
      </c>
      <c r="D113" s="11">
        <v>29</v>
      </c>
      <c r="G113" s="2" t="s">
        <v>365</v>
      </c>
    </row>
    <row r="114" spans="1:16" x14ac:dyDescent="0.35">
      <c r="A114" s="3" t="s">
        <v>91</v>
      </c>
      <c r="B114" s="11" t="str">
        <f>A114&amp;"的教导"</f>
        <v>勤劳的教导</v>
      </c>
      <c r="D114" s="11">
        <v>34</v>
      </c>
      <c r="G114" s="2" t="s">
        <v>365</v>
      </c>
    </row>
    <row r="115" spans="1:16" x14ac:dyDescent="0.35">
      <c r="A115" s="3" t="s">
        <v>92</v>
      </c>
      <c r="B115" s="11" t="str">
        <f>A115&amp;"的哲学"</f>
        <v>黄金的哲学</v>
      </c>
      <c r="C115" s="11">
        <v>3</v>
      </c>
      <c r="D115" s="11">
        <v>1</v>
      </c>
      <c r="G115" s="2" t="s">
        <v>366</v>
      </c>
    </row>
    <row r="116" spans="1:16" x14ac:dyDescent="0.35">
      <c r="A116" s="3" t="s">
        <v>92</v>
      </c>
      <c r="B116" s="11" t="str">
        <f>A116&amp;"的指引"</f>
        <v>黄金的指引</v>
      </c>
      <c r="C116" s="11">
        <v>3</v>
      </c>
      <c r="D116" s="11">
        <v>8</v>
      </c>
      <c r="G116" s="2" t="s">
        <v>366</v>
      </c>
    </row>
    <row r="117" spans="1:16" x14ac:dyDescent="0.35">
      <c r="A117" s="3" t="s">
        <v>92</v>
      </c>
      <c r="B117" s="11" t="str">
        <f>A117&amp;"的教导"</f>
        <v>黄金的教导</v>
      </c>
      <c r="D117" s="11">
        <v>25</v>
      </c>
      <c r="G117" s="2" t="s">
        <v>366</v>
      </c>
    </row>
    <row r="118" spans="1:16" x14ac:dyDescent="0.35">
      <c r="A118" s="3" t="s">
        <v>537</v>
      </c>
      <c r="B118" s="11" t="str">
        <f>A118&amp;"的哲学"</f>
        <v>浮世的哲学</v>
      </c>
      <c r="C118" s="11">
        <v>3</v>
      </c>
      <c r="D118" s="11">
        <v>0</v>
      </c>
      <c r="G118" s="2" t="s">
        <v>364</v>
      </c>
    </row>
    <row r="119" spans="1:16" x14ac:dyDescent="0.35">
      <c r="A119" s="3" t="s">
        <v>537</v>
      </c>
      <c r="B119" s="11" t="str">
        <f>A119&amp;"的指引"</f>
        <v>浮世的指引</v>
      </c>
      <c r="C119" s="11">
        <v>3</v>
      </c>
      <c r="D119" s="11">
        <v>0</v>
      </c>
      <c r="G119" s="2" t="s">
        <v>364</v>
      </c>
    </row>
    <row r="120" spans="1:16" x14ac:dyDescent="0.35">
      <c r="A120" s="3" t="s">
        <v>537</v>
      </c>
      <c r="B120" s="11" t="str">
        <f>A120&amp;"的教导"</f>
        <v>浮世的教导</v>
      </c>
      <c r="D120" s="11">
        <v>0</v>
      </c>
      <c r="G120" s="2" t="s">
        <v>364</v>
      </c>
    </row>
    <row r="121" spans="1:16" x14ac:dyDescent="0.35">
      <c r="A121" s="3" t="s">
        <v>531</v>
      </c>
      <c r="B121" s="11" t="str">
        <f>A121&amp;"的哲学"</f>
        <v>风雅的哲学</v>
      </c>
      <c r="C121" s="11">
        <v>3</v>
      </c>
      <c r="D121" s="11">
        <v>0</v>
      </c>
      <c r="E121">
        <v>66</v>
      </c>
      <c r="F121" s="17">
        <v>66</v>
      </c>
      <c r="G121" s="2" t="s">
        <v>365</v>
      </c>
      <c r="H121" s="14" t="s">
        <v>572</v>
      </c>
      <c r="I121" s="14">
        <v>66</v>
      </c>
    </row>
    <row r="122" spans="1:16" x14ac:dyDescent="0.35">
      <c r="A122" s="3" t="s">
        <v>531</v>
      </c>
      <c r="B122" s="11" t="str">
        <f>A122&amp;"的指引"</f>
        <v>风雅的指引</v>
      </c>
      <c r="C122" s="11">
        <v>3</v>
      </c>
      <c r="D122" s="11">
        <v>5</v>
      </c>
      <c r="E122">
        <v>63</v>
      </c>
      <c r="F122" s="17" t="s">
        <v>711</v>
      </c>
      <c r="G122" s="2" t="s">
        <v>365</v>
      </c>
      <c r="H122" s="14" t="s">
        <v>572</v>
      </c>
      <c r="I122" s="14">
        <v>63</v>
      </c>
    </row>
    <row r="123" spans="1:16" x14ac:dyDescent="0.35">
      <c r="A123" s="3" t="s">
        <v>531</v>
      </c>
      <c r="B123" s="11" t="str">
        <f>A123&amp;"的教导"</f>
        <v>风雅的教导</v>
      </c>
      <c r="D123" s="11">
        <v>50</v>
      </c>
      <c r="E123">
        <v>9</v>
      </c>
      <c r="F123" s="14" t="s">
        <v>519</v>
      </c>
      <c r="G123" s="2" t="s">
        <v>365</v>
      </c>
      <c r="H123" s="14" t="s">
        <v>572</v>
      </c>
      <c r="I123" s="14">
        <v>9</v>
      </c>
    </row>
    <row r="124" spans="1:16" x14ac:dyDescent="0.35">
      <c r="A124" s="3" t="s">
        <v>540</v>
      </c>
      <c r="B124" s="11" t="str">
        <f>A124&amp;"的哲学"</f>
        <v>天光的哲学</v>
      </c>
      <c r="C124" s="11">
        <v>3</v>
      </c>
      <c r="D124" s="11">
        <v>0</v>
      </c>
      <c r="G124" s="2" t="s">
        <v>366</v>
      </c>
    </row>
    <row r="125" spans="1:16" x14ac:dyDescent="0.35">
      <c r="A125" s="3" t="s">
        <v>540</v>
      </c>
      <c r="B125" s="11" t="str">
        <f>A125&amp;"的指引"</f>
        <v>天光的指引</v>
      </c>
      <c r="C125" s="11">
        <v>3</v>
      </c>
      <c r="D125" s="11">
        <v>0</v>
      </c>
      <c r="G125" s="2" t="s">
        <v>366</v>
      </c>
    </row>
    <row r="126" spans="1:16" x14ac:dyDescent="0.35">
      <c r="A126" s="3" t="s">
        <v>540</v>
      </c>
      <c r="B126" s="11" t="str">
        <f>A126&amp;"的教导"</f>
        <v>天光的教导</v>
      </c>
      <c r="D126" s="11">
        <v>0</v>
      </c>
      <c r="G126" s="2" t="s">
        <v>366</v>
      </c>
    </row>
    <row r="127" spans="1:16" ht="16.2" thickBot="1" x14ac:dyDescent="0.4">
      <c r="A127" s="3" t="s">
        <v>343</v>
      </c>
      <c r="D127" s="11">
        <v>6</v>
      </c>
      <c r="P127" s="20"/>
    </row>
    <row r="128" spans="1:16" s="20" customFormat="1" ht="16.2" thickTop="1" x14ac:dyDescent="0.35">
      <c r="A128" s="18" t="s">
        <v>93</v>
      </c>
      <c r="B128" s="19" t="s">
        <v>94</v>
      </c>
      <c r="C128" s="19">
        <v>3</v>
      </c>
      <c r="D128" s="19">
        <v>0</v>
      </c>
      <c r="E128"/>
      <c r="F128" s="14"/>
      <c r="G128" s="21" t="s">
        <v>364</v>
      </c>
      <c r="H128" s="14"/>
      <c r="I128" s="14"/>
      <c r="P128"/>
    </row>
    <row r="129" spans="1:7" x14ac:dyDescent="0.35">
      <c r="A129" s="3" t="s">
        <v>93</v>
      </c>
      <c r="B129" s="11" t="s">
        <v>95</v>
      </c>
      <c r="C129" s="11">
        <v>3</v>
      </c>
      <c r="D129" s="11">
        <v>1</v>
      </c>
      <c r="G129" s="2" t="s">
        <v>364</v>
      </c>
    </row>
    <row r="130" spans="1:7" x14ac:dyDescent="0.35">
      <c r="A130" s="3" t="s">
        <v>93</v>
      </c>
      <c r="B130" s="11" t="s">
        <v>96</v>
      </c>
      <c r="C130" s="11">
        <v>3</v>
      </c>
      <c r="D130" s="11">
        <v>19</v>
      </c>
      <c r="G130" s="2" t="s">
        <v>364</v>
      </c>
    </row>
    <row r="131" spans="1:7" x14ac:dyDescent="0.35">
      <c r="A131" s="3" t="s">
        <v>93</v>
      </c>
      <c r="B131" s="11" t="s">
        <v>97</v>
      </c>
      <c r="D131" s="11">
        <v>26</v>
      </c>
      <c r="G131" s="2" t="s">
        <v>364</v>
      </c>
    </row>
    <row r="132" spans="1:7" x14ac:dyDescent="0.35">
      <c r="A132" s="3" t="s">
        <v>98</v>
      </c>
      <c r="B132" s="11" t="s">
        <v>99</v>
      </c>
      <c r="C132" s="11">
        <v>3</v>
      </c>
      <c r="D132" s="11">
        <v>0</v>
      </c>
      <c r="G132" s="2" t="s">
        <v>365</v>
      </c>
    </row>
    <row r="133" spans="1:7" x14ac:dyDescent="0.35">
      <c r="A133" s="3" t="s">
        <v>98</v>
      </c>
      <c r="B133" s="11" t="s">
        <v>100</v>
      </c>
      <c r="C133" s="11">
        <v>3</v>
      </c>
      <c r="D133" s="11">
        <v>0</v>
      </c>
      <c r="G133" s="2" t="s">
        <v>365</v>
      </c>
    </row>
    <row r="134" spans="1:7" x14ac:dyDescent="0.35">
      <c r="A134" s="3" t="s">
        <v>98</v>
      </c>
      <c r="B134" s="11" t="s">
        <v>101</v>
      </c>
      <c r="C134" s="11">
        <v>3</v>
      </c>
      <c r="D134" s="11">
        <v>0</v>
      </c>
      <c r="G134" s="2" t="s">
        <v>365</v>
      </c>
    </row>
    <row r="135" spans="1:7" x14ac:dyDescent="0.35">
      <c r="A135" s="3" t="s">
        <v>98</v>
      </c>
      <c r="B135" s="11" t="s">
        <v>102</v>
      </c>
      <c r="D135" s="11">
        <v>7</v>
      </c>
      <c r="G135" s="2" t="s">
        <v>365</v>
      </c>
    </row>
    <row r="136" spans="1:7" x14ac:dyDescent="0.35">
      <c r="A136" s="3" t="s">
        <v>103</v>
      </c>
      <c r="B136" s="11" t="s">
        <v>104</v>
      </c>
      <c r="C136" s="11">
        <v>3</v>
      </c>
      <c r="D136" s="11">
        <v>0</v>
      </c>
      <c r="G136" s="2" t="s">
        <v>366</v>
      </c>
    </row>
    <row r="137" spans="1:7" x14ac:dyDescent="0.35">
      <c r="A137" s="3" t="s">
        <v>103</v>
      </c>
      <c r="B137" s="11" t="s">
        <v>105</v>
      </c>
      <c r="C137" s="11">
        <v>3</v>
      </c>
      <c r="D137" s="11">
        <v>0</v>
      </c>
      <c r="G137" s="2" t="s">
        <v>366</v>
      </c>
    </row>
    <row r="138" spans="1:7" x14ac:dyDescent="0.35">
      <c r="A138" s="3" t="s">
        <v>103</v>
      </c>
      <c r="B138" s="11" t="s">
        <v>106</v>
      </c>
      <c r="C138" s="11">
        <v>3</v>
      </c>
      <c r="D138" s="11">
        <v>3</v>
      </c>
      <c r="G138" s="2" t="s">
        <v>366</v>
      </c>
    </row>
    <row r="139" spans="1:7" x14ac:dyDescent="0.35">
      <c r="A139" s="3" t="s">
        <v>103</v>
      </c>
      <c r="B139" s="11" t="s">
        <v>107</v>
      </c>
      <c r="D139" s="11">
        <v>19</v>
      </c>
      <c r="G139" s="2" t="s">
        <v>366</v>
      </c>
    </row>
    <row r="140" spans="1:7" x14ac:dyDescent="0.35">
      <c r="A140" s="3" t="s">
        <v>108</v>
      </c>
      <c r="B140" s="11" t="s">
        <v>109</v>
      </c>
      <c r="C140" s="11">
        <v>3</v>
      </c>
      <c r="D140" s="11">
        <v>0</v>
      </c>
      <c r="G140" s="2" t="s">
        <v>364</v>
      </c>
    </row>
    <row r="141" spans="1:7" x14ac:dyDescent="0.35">
      <c r="A141" s="3" t="s">
        <v>108</v>
      </c>
      <c r="B141" s="11" t="s">
        <v>110</v>
      </c>
      <c r="C141" s="11">
        <v>3</v>
      </c>
      <c r="D141" s="11">
        <v>1</v>
      </c>
      <c r="G141" s="2" t="s">
        <v>364</v>
      </c>
    </row>
    <row r="142" spans="1:7" x14ac:dyDescent="0.35">
      <c r="A142" s="3" t="s">
        <v>108</v>
      </c>
      <c r="B142" s="11" t="s">
        <v>111</v>
      </c>
      <c r="C142" s="11">
        <v>3</v>
      </c>
      <c r="D142" s="11">
        <v>7</v>
      </c>
      <c r="G142" s="2" t="s">
        <v>364</v>
      </c>
    </row>
    <row r="143" spans="1:7" x14ac:dyDescent="0.35">
      <c r="A143" s="3" t="s">
        <v>108</v>
      </c>
      <c r="B143" s="11" t="s">
        <v>112</v>
      </c>
      <c r="D143" s="11">
        <v>16</v>
      </c>
      <c r="G143" s="2" t="s">
        <v>364</v>
      </c>
    </row>
    <row r="144" spans="1:7" x14ac:dyDescent="0.35">
      <c r="A144" s="3" t="s">
        <v>113</v>
      </c>
      <c r="B144" s="11" t="s">
        <v>114</v>
      </c>
      <c r="C144" s="11">
        <v>3</v>
      </c>
      <c r="D144" s="11">
        <v>0</v>
      </c>
      <c r="G144" s="2" t="s">
        <v>365</v>
      </c>
    </row>
    <row r="145" spans="1:9" x14ac:dyDescent="0.35">
      <c r="A145" s="3" t="s">
        <v>113</v>
      </c>
      <c r="B145" s="11" t="s">
        <v>116</v>
      </c>
      <c r="C145" s="11">
        <v>3</v>
      </c>
      <c r="D145" s="11">
        <v>2</v>
      </c>
      <c r="G145" s="2" t="s">
        <v>365</v>
      </c>
    </row>
    <row r="146" spans="1:9" x14ac:dyDescent="0.35">
      <c r="A146" s="3" t="s">
        <v>113</v>
      </c>
      <c r="B146" s="11" t="s">
        <v>115</v>
      </c>
      <c r="C146" s="11">
        <v>3</v>
      </c>
      <c r="D146" s="11">
        <v>17</v>
      </c>
      <c r="G146" s="2" t="s">
        <v>365</v>
      </c>
    </row>
    <row r="147" spans="1:9" x14ac:dyDescent="0.35">
      <c r="A147" s="3" t="s">
        <v>113</v>
      </c>
      <c r="B147" s="11" t="s">
        <v>117</v>
      </c>
      <c r="D147" s="11">
        <v>14</v>
      </c>
      <c r="G147" s="2" t="s">
        <v>365</v>
      </c>
    </row>
    <row r="148" spans="1:9" x14ac:dyDescent="0.35">
      <c r="A148" s="3" t="s">
        <v>118</v>
      </c>
      <c r="B148" s="11" t="s">
        <v>121</v>
      </c>
      <c r="C148" s="11">
        <v>3</v>
      </c>
      <c r="D148" s="11">
        <v>0</v>
      </c>
      <c r="G148" s="2" t="s">
        <v>366</v>
      </c>
    </row>
    <row r="149" spans="1:9" x14ac:dyDescent="0.35">
      <c r="A149" s="3" t="s">
        <v>118</v>
      </c>
      <c r="B149" s="11" t="s">
        <v>122</v>
      </c>
      <c r="C149" s="11">
        <v>3</v>
      </c>
      <c r="D149" s="11">
        <v>2</v>
      </c>
      <c r="G149" s="2" t="s">
        <v>366</v>
      </c>
    </row>
    <row r="150" spans="1:9" x14ac:dyDescent="0.35">
      <c r="A150" s="3" t="s">
        <v>118</v>
      </c>
      <c r="B150" s="11" t="s">
        <v>120</v>
      </c>
      <c r="C150" s="11">
        <v>3</v>
      </c>
      <c r="D150" s="11">
        <v>10</v>
      </c>
      <c r="G150" s="2" t="s">
        <v>366</v>
      </c>
    </row>
    <row r="151" spans="1:9" x14ac:dyDescent="0.35">
      <c r="A151" s="3" t="s">
        <v>118</v>
      </c>
      <c r="B151" s="11" t="s">
        <v>119</v>
      </c>
      <c r="D151" s="11">
        <v>29</v>
      </c>
      <c r="G151" s="2" t="s">
        <v>366</v>
      </c>
    </row>
    <row r="152" spans="1:9" x14ac:dyDescent="0.35">
      <c r="A152" s="3" t="s">
        <v>712</v>
      </c>
      <c r="B152" s="11" t="s">
        <v>713</v>
      </c>
      <c r="C152" s="11">
        <v>3</v>
      </c>
      <c r="D152" s="11">
        <v>0</v>
      </c>
      <c r="E152">
        <v>6</v>
      </c>
      <c r="F152" s="17">
        <v>6</v>
      </c>
      <c r="G152" s="2" t="s">
        <v>364</v>
      </c>
      <c r="H152" s="14" t="s">
        <v>684</v>
      </c>
      <c r="I152" s="14">
        <v>6</v>
      </c>
    </row>
    <row r="153" spans="1:9" x14ac:dyDescent="0.35">
      <c r="A153" s="3" t="s">
        <v>712</v>
      </c>
      <c r="B153" s="11" t="s">
        <v>714</v>
      </c>
      <c r="C153" s="11">
        <v>3</v>
      </c>
      <c r="D153" s="11">
        <v>0</v>
      </c>
      <c r="E153">
        <v>14</v>
      </c>
      <c r="F153" s="17">
        <v>14</v>
      </c>
      <c r="G153" s="2" t="s">
        <v>364</v>
      </c>
      <c r="H153" s="14" t="s">
        <v>684</v>
      </c>
      <c r="I153" s="14">
        <v>14</v>
      </c>
    </row>
    <row r="154" spans="1:9" x14ac:dyDescent="0.35">
      <c r="A154" s="3" t="s">
        <v>712</v>
      </c>
      <c r="B154" s="11" t="s">
        <v>715</v>
      </c>
      <c r="C154" s="11">
        <v>3</v>
      </c>
      <c r="D154" s="11">
        <v>0</v>
      </c>
      <c r="E154">
        <v>14</v>
      </c>
      <c r="F154" s="17">
        <v>14</v>
      </c>
      <c r="G154" s="2" t="s">
        <v>364</v>
      </c>
      <c r="H154" s="14" t="s">
        <v>684</v>
      </c>
      <c r="I154" s="14">
        <v>14</v>
      </c>
    </row>
    <row r="155" spans="1:9" x14ac:dyDescent="0.35">
      <c r="A155" s="3" t="s">
        <v>712</v>
      </c>
      <c r="B155" s="11" t="s">
        <v>716</v>
      </c>
      <c r="D155" s="11">
        <v>0</v>
      </c>
      <c r="E155">
        <v>5</v>
      </c>
      <c r="F155" s="17">
        <v>5</v>
      </c>
      <c r="G155" s="2" t="s">
        <v>364</v>
      </c>
      <c r="H155" s="14" t="s">
        <v>684</v>
      </c>
      <c r="I155" s="14">
        <v>5</v>
      </c>
    </row>
    <row r="156" spans="1:9" x14ac:dyDescent="0.35">
      <c r="A156" s="3" t="s">
        <v>552</v>
      </c>
      <c r="B156" s="11" t="s">
        <v>553</v>
      </c>
      <c r="C156" s="11">
        <v>3</v>
      </c>
      <c r="D156" s="11">
        <v>0</v>
      </c>
      <c r="G156" s="2" t="s">
        <v>365</v>
      </c>
    </row>
    <row r="157" spans="1:9" x14ac:dyDescent="0.35">
      <c r="A157" s="3" t="s">
        <v>552</v>
      </c>
      <c r="B157" s="11" t="s">
        <v>554</v>
      </c>
      <c r="C157" s="11">
        <v>3</v>
      </c>
      <c r="D157" s="11">
        <v>0</v>
      </c>
      <c r="G157" s="2" t="s">
        <v>365</v>
      </c>
    </row>
    <row r="158" spans="1:9" x14ac:dyDescent="0.35">
      <c r="A158" s="3" t="s">
        <v>552</v>
      </c>
      <c r="B158" s="11" t="s">
        <v>555</v>
      </c>
      <c r="C158" s="11">
        <v>3</v>
      </c>
      <c r="D158" s="11">
        <v>0</v>
      </c>
      <c r="G158" s="2" t="s">
        <v>365</v>
      </c>
    </row>
    <row r="159" spans="1:9" x14ac:dyDescent="0.35">
      <c r="A159" s="3" t="s">
        <v>552</v>
      </c>
      <c r="B159" s="11" t="s">
        <v>556</v>
      </c>
      <c r="D159" s="11">
        <v>0</v>
      </c>
      <c r="G159" s="2" t="s">
        <v>365</v>
      </c>
    </row>
    <row r="160" spans="1:9" x14ac:dyDescent="0.35">
      <c r="A160" s="3" t="s">
        <v>562</v>
      </c>
      <c r="B160" s="11" t="s">
        <v>563</v>
      </c>
      <c r="C160" s="11">
        <v>3</v>
      </c>
      <c r="D160" s="11">
        <v>0</v>
      </c>
      <c r="G160" s="2" t="s">
        <v>366</v>
      </c>
    </row>
    <row r="161" spans="1:7" x14ac:dyDescent="0.35">
      <c r="A161" s="3" t="s">
        <v>562</v>
      </c>
      <c r="B161" s="11" t="s">
        <v>564</v>
      </c>
      <c r="C161" s="11">
        <v>3</v>
      </c>
      <c r="D161" s="11">
        <v>0</v>
      </c>
      <c r="G161" s="2" t="s">
        <v>366</v>
      </c>
    </row>
    <row r="162" spans="1:7" x14ac:dyDescent="0.35">
      <c r="A162" s="3" t="s">
        <v>562</v>
      </c>
      <c r="B162" s="11" t="s">
        <v>565</v>
      </c>
      <c r="C162" s="11">
        <v>3</v>
      </c>
      <c r="D162" s="11">
        <v>0</v>
      </c>
      <c r="G162" s="2" t="s">
        <v>366</v>
      </c>
    </row>
    <row r="163" spans="1:7" x14ac:dyDescent="0.35">
      <c r="A163" s="3" t="s">
        <v>562</v>
      </c>
      <c r="B163" s="11" t="s">
        <v>566</v>
      </c>
      <c r="D163" s="11">
        <v>0</v>
      </c>
      <c r="G163" s="2" t="s">
        <v>366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8441D-04FD-4137-99D3-0DCFE31D0E37}">
  <sheetPr codeName="Sheet3"/>
  <dimension ref="A1:F30"/>
  <sheetViews>
    <sheetView workbookViewId="0">
      <pane ySplit="1" topLeftCell="A2" activePane="bottomLeft" state="frozen"/>
      <selection pane="bottomLeft" activeCell="A2" sqref="A2"/>
    </sheetView>
  </sheetViews>
  <sheetFormatPr defaultRowHeight="15.6" x14ac:dyDescent="0.35"/>
  <cols>
    <col min="1" max="1" width="17.77734375" style="3" customWidth="1"/>
    <col min="2" max="2" width="11.109375" style="11" customWidth="1"/>
    <col min="3" max="3" width="11.109375" customWidth="1"/>
    <col min="4" max="4" width="9.5546875" style="14" bestFit="1" customWidth="1"/>
    <col min="5" max="5" width="19.44140625" style="14" customWidth="1"/>
    <col min="6" max="6" width="11.109375" style="14" customWidth="1"/>
  </cols>
  <sheetData>
    <row r="1" spans="1:6" s="4" customFormat="1" ht="20.100000000000001" customHeight="1" x14ac:dyDescent="0.25">
      <c r="A1" s="9" t="s">
        <v>26</v>
      </c>
      <c r="B1" s="10" t="s">
        <v>66</v>
      </c>
      <c r="C1" s="10" t="s">
        <v>422</v>
      </c>
      <c r="D1" s="10" t="s">
        <v>423</v>
      </c>
      <c r="E1" s="10" t="s">
        <v>424</v>
      </c>
      <c r="F1" s="10" t="s">
        <v>425</v>
      </c>
    </row>
    <row r="2" spans="1:6" ht="42.6" x14ac:dyDescent="0.35">
      <c r="A2" s="3" t="s">
        <v>362</v>
      </c>
      <c r="B2" s="11">
        <v>5676929</v>
      </c>
      <c r="C2">
        <v>6081475</v>
      </c>
      <c r="D2" s="17">
        <v>404546</v>
      </c>
      <c r="E2" s="22" t="s">
        <v>692</v>
      </c>
      <c r="F2" s="22" t="s">
        <v>693</v>
      </c>
    </row>
    <row r="3" spans="1:6" x14ac:dyDescent="0.35">
      <c r="A3" s="3" t="s">
        <v>353</v>
      </c>
      <c r="B3" s="11">
        <v>0</v>
      </c>
    </row>
    <row r="4" spans="1:6" x14ac:dyDescent="0.35">
      <c r="A4" s="3" t="s">
        <v>354</v>
      </c>
      <c r="B4" s="11">
        <v>0</v>
      </c>
      <c r="C4">
        <v>9064450</v>
      </c>
      <c r="D4" s="14" t="s">
        <v>519</v>
      </c>
      <c r="E4" s="14" t="s">
        <v>691</v>
      </c>
      <c r="F4" s="14">
        <v>9064450</v>
      </c>
    </row>
    <row r="5" spans="1:6" x14ac:dyDescent="0.35">
      <c r="A5" s="3" t="s">
        <v>352</v>
      </c>
      <c r="B5" s="11">
        <v>1120</v>
      </c>
    </row>
    <row r="6" spans="1:6" x14ac:dyDescent="0.35">
      <c r="A6" s="3" t="s">
        <v>382</v>
      </c>
      <c r="B6" s="11">
        <v>0</v>
      </c>
    </row>
    <row r="7" spans="1:6" x14ac:dyDescent="0.35">
      <c r="A7" s="3" t="s">
        <v>383</v>
      </c>
      <c r="B7" s="11">
        <v>0</v>
      </c>
    </row>
    <row r="8" spans="1:6" x14ac:dyDescent="0.35">
      <c r="A8" s="3" t="s">
        <v>379</v>
      </c>
      <c r="B8" s="11">
        <v>0</v>
      </c>
    </row>
    <row r="9" spans="1:6" x14ac:dyDescent="0.35">
      <c r="A9" s="3" t="s">
        <v>380</v>
      </c>
      <c r="B9" s="11">
        <v>0</v>
      </c>
    </row>
    <row r="10" spans="1:6" x14ac:dyDescent="0.35">
      <c r="A10" s="3" t="s">
        <v>381</v>
      </c>
      <c r="B10" s="11">
        <v>0</v>
      </c>
    </row>
    <row r="11" spans="1:6" x14ac:dyDescent="0.35">
      <c r="A11" s="3" t="s">
        <v>245</v>
      </c>
      <c r="B11" s="11">
        <v>128</v>
      </c>
    </row>
    <row r="12" spans="1:6" x14ac:dyDescent="0.35">
      <c r="A12" s="3" t="s">
        <v>253</v>
      </c>
      <c r="B12" s="11">
        <v>195</v>
      </c>
    </row>
    <row r="13" spans="1:6" x14ac:dyDescent="0.35">
      <c r="A13" s="3" t="s">
        <v>254</v>
      </c>
      <c r="B13" s="11">
        <v>360</v>
      </c>
    </row>
    <row r="14" spans="1:6" x14ac:dyDescent="0.35">
      <c r="A14" s="3" t="s">
        <v>259</v>
      </c>
      <c r="B14" s="11">
        <v>199</v>
      </c>
    </row>
    <row r="15" spans="1:6" x14ac:dyDescent="0.35">
      <c r="A15" s="3" t="s">
        <v>240</v>
      </c>
      <c r="B15" s="11">
        <v>498</v>
      </c>
    </row>
    <row r="16" spans="1:6" x14ac:dyDescent="0.35">
      <c r="A16" s="3" t="s">
        <v>203</v>
      </c>
      <c r="B16" s="11">
        <v>235</v>
      </c>
    </row>
    <row r="17" spans="1:6" x14ac:dyDescent="0.35">
      <c r="A17" s="3" t="s">
        <v>242</v>
      </c>
      <c r="B17" s="11">
        <v>631</v>
      </c>
    </row>
    <row r="18" spans="1:6" x14ac:dyDescent="0.35">
      <c r="A18" s="3" t="s">
        <v>255</v>
      </c>
      <c r="B18" s="11">
        <v>237</v>
      </c>
    </row>
    <row r="19" spans="1:6" x14ac:dyDescent="0.35">
      <c r="A19" s="3" t="s">
        <v>257</v>
      </c>
      <c r="B19" s="11">
        <v>204</v>
      </c>
    </row>
    <row r="20" spans="1:6" x14ac:dyDescent="0.35">
      <c r="A20" s="3" t="s">
        <v>263</v>
      </c>
      <c r="B20" s="11">
        <v>547</v>
      </c>
    </row>
    <row r="21" spans="1:6" x14ac:dyDescent="0.35">
      <c r="A21" s="3" t="s">
        <v>260</v>
      </c>
      <c r="B21" s="11">
        <v>231</v>
      </c>
    </row>
    <row r="22" spans="1:6" x14ac:dyDescent="0.35">
      <c r="A22" s="3" t="s">
        <v>351</v>
      </c>
      <c r="B22" s="11">
        <v>444</v>
      </c>
    </row>
    <row r="23" spans="1:6" x14ac:dyDescent="0.35">
      <c r="A23" s="3" t="s">
        <v>247</v>
      </c>
      <c r="B23" s="11">
        <v>366</v>
      </c>
    </row>
    <row r="24" spans="1:6" x14ac:dyDescent="0.35">
      <c r="A24" s="3" t="s">
        <v>208</v>
      </c>
      <c r="B24" s="11">
        <v>199</v>
      </c>
    </row>
    <row r="25" spans="1:6" x14ac:dyDescent="0.35">
      <c r="A25" s="3" t="s">
        <v>258</v>
      </c>
      <c r="B25" s="11">
        <v>206</v>
      </c>
    </row>
    <row r="26" spans="1:6" x14ac:dyDescent="0.35">
      <c r="A26" s="3" t="s">
        <v>249</v>
      </c>
      <c r="B26" s="11">
        <v>323</v>
      </c>
    </row>
    <row r="27" spans="1:6" x14ac:dyDescent="0.35">
      <c r="A27" s="3" t="s">
        <v>526</v>
      </c>
      <c r="B27" s="11">
        <v>0</v>
      </c>
      <c r="C27">
        <v>168</v>
      </c>
      <c r="D27" s="17">
        <v>168</v>
      </c>
      <c r="E27" s="14" t="s">
        <v>521</v>
      </c>
      <c r="F27" s="14">
        <v>168</v>
      </c>
    </row>
    <row r="28" spans="1:6" x14ac:dyDescent="0.35">
      <c r="A28" s="3" t="s">
        <v>533</v>
      </c>
      <c r="B28" s="11">
        <v>196</v>
      </c>
    </row>
    <row r="29" spans="1:6" x14ac:dyDescent="0.35">
      <c r="A29" s="3" t="s">
        <v>536</v>
      </c>
      <c r="B29" s="11">
        <v>0</v>
      </c>
    </row>
    <row r="30" spans="1:6" x14ac:dyDescent="0.35">
      <c r="A30" s="3" t="s">
        <v>539</v>
      </c>
      <c r="B30" s="11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EB57-2DDB-44FB-9CB9-D189ED3EBC15}">
  <sheetPr codeName="Sheet14"/>
  <dimension ref="A1:Y278"/>
  <sheetViews>
    <sheetView workbookViewId="0">
      <selection activeCell="F28" sqref="F28"/>
    </sheetView>
  </sheetViews>
  <sheetFormatPr defaultRowHeight="13.8" x14ac:dyDescent="0.25"/>
  <cols>
    <col min="1" max="1" width="15.5546875" customWidth="1"/>
    <col min="2" max="2" width="8.88671875" customWidth="1"/>
    <col min="3" max="3" width="8.33203125" customWidth="1"/>
    <col min="4" max="4" width="15.5546875" customWidth="1"/>
    <col min="5" max="5" width="8.88671875" customWidth="1"/>
    <col min="6" max="6" width="8.33203125" customWidth="1"/>
    <col min="7" max="7" width="11.109375" customWidth="1"/>
    <col min="8" max="8" width="8.88671875" customWidth="1"/>
    <col min="9" max="9" width="8.33203125" customWidth="1"/>
    <col min="10" max="10" width="13.33203125" customWidth="1"/>
    <col min="11" max="11" width="11.109375" customWidth="1"/>
    <col min="12" max="12" width="8.88671875" customWidth="1"/>
    <col min="13" max="13" width="8.33203125" customWidth="1"/>
    <col min="14" max="14" width="13.109375" customWidth="1"/>
    <col min="15" max="17" width="8.88671875" customWidth="1"/>
    <col min="18" max="18" width="8.33203125" customWidth="1"/>
    <col min="19" max="19" width="11.109375" customWidth="1"/>
  </cols>
  <sheetData>
    <row r="1" spans="1:23" ht="15.6" x14ac:dyDescent="0.35">
      <c r="A1" s="35" t="s">
        <v>580</v>
      </c>
      <c r="B1" s="36" t="s">
        <v>497</v>
      </c>
      <c r="C1" s="37"/>
      <c r="D1" s="35" t="s">
        <v>348</v>
      </c>
      <c r="E1" s="37"/>
      <c r="F1" s="37"/>
      <c r="G1" s="35" t="s">
        <v>605</v>
      </c>
      <c r="H1" s="37"/>
      <c r="I1" s="37"/>
      <c r="J1" s="35" t="s">
        <v>586</v>
      </c>
      <c r="K1" s="37" t="s">
        <v>583</v>
      </c>
      <c r="L1" s="37" t="s">
        <v>587</v>
      </c>
      <c r="M1" s="37"/>
      <c r="N1" s="35" t="s">
        <v>598</v>
      </c>
      <c r="O1" s="37" t="s">
        <v>587</v>
      </c>
      <c r="P1" s="37" t="s">
        <v>603</v>
      </c>
      <c r="Q1" s="43" t="s">
        <v>695</v>
      </c>
      <c r="R1" s="37"/>
      <c r="S1" s="35" t="s">
        <v>612</v>
      </c>
      <c r="T1" s="38" t="s">
        <v>709</v>
      </c>
      <c r="U1" s="37" t="s">
        <v>368</v>
      </c>
      <c r="V1" s="3"/>
    </row>
    <row r="2" spans="1:23" ht="15.6" customHeight="1" x14ac:dyDescent="0.35">
      <c r="A2" s="37" t="s">
        <v>150</v>
      </c>
      <c r="B2" s="38">
        <v>202</v>
      </c>
      <c r="C2" s="37"/>
      <c r="D2" s="37" t="s">
        <v>150</v>
      </c>
      <c r="E2" s="38">
        <v>454</v>
      </c>
      <c r="F2" s="37"/>
      <c r="G2" s="37" t="s">
        <v>593</v>
      </c>
      <c r="H2" s="38">
        <v>0</v>
      </c>
      <c r="I2" s="37"/>
      <c r="J2" s="37" t="s">
        <v>585</v>
      </c>
      <c r="K2" s="37" t="s">
        <v>584</v>
      </c>
      <c r="L2" s="37">
        <f>VLOOKUP(K2,圣遗物属性!E2:F13, 2, FALSE)</f>
        <v>4780</v>
      </c>
      <c r="M2" s="37"/>
      <c r="N2" s="37" t="s">
        <v>150</v>
      </c>
      <c r="O2" s="37">
        <f>P2*圣遗物属性!J3</f>
        <v>0</v>
      </c>
      <c r="P2" s="38">
        <v>0</v>
      </c>
      <c r="R2" s="37"/>
      <c r="S2" s="37" t="s">
        <v>613</v>
      </c>
      <c r="T2" s="37">
        <f>IFERROR(VLOOKUP(T1,圣遗物属性!O2:P2,2,FALSE),0)</f>
        <v>0</v>
      </c>
      <c r="U2" s="37" t="s">
        <v>700</v>
      </c>
      <c r="V2" s="3"/>
      <c r="W2" s="3"/>
    </row>
    <row r="3" spans="1:23" ht="15.6" customHeight="1" x14ac:dyDescent="0.35">
      <c r="A3" s="37" t="s">
        <v>584</v>
      </c>
      <c r="B3" s="38">
        <v>10222</v>
      </c>
      <c r="C3" s="37"/>
      <c r="D3" s="37" t="s">
        <v>593</v>
      </c>
      <c r="E3" s="38">
        <v>0</v>
      </c>
      <c r="F3" s="37"/>
      <c r="G3" s="37" t="s">
        <v>594</v>
      </c>
      <c r="H3" s="38">
        <v>0</v>
      </c>
      <c r="I3" s="37"/>
      <c r="J3" s="37" t="s">
        <v>588</v>
      </c>
      <c r="K3" s="37" t="s">
        <v>150</v>
      </c>
      <c r="L3" s="37">
        <f>VLOOKUP(K3,圣遗物属性!E2:F13, 2, FALSE)</f>
        <v>311</v>
      </c>
      <c r="M3" s="37"/>
      <c r="N3" s="37" t="s">
        <v>584</v>
      </c>
      <c r="O3" s="37">
        <f>P3*圣遗物属性!J2</f>
        <v>0</v>
      </c>
      <c r="P3" s="38">
        <v>0</v>
      </c>
      <c r="Q3" s="37"/>
      <c r="R3" s="37"/>
      <c r="S3" s="37" t="s">
        <v>609</v>
      </c>
      <c r="T3" s="37">
        <f>IFERROR(VLOOKUP(T1,圣遗物属性!O4:P4,2,FALSE),0)</f>
        <v>0</v>
      </c>
      <c r="U3" s="37" t="s">
        <v>699</v>
      </c>
      <c r="V3" s="3"/>
      <c r="W3" s="3"/>
    </row>
    <row r="4" spans="1:23" ht="15.6" customHeight="1" x14ac:dyDescent="0.35">
      <c r="A4" s="37" t="s">
        <v>389</v>
      </c>
      <c r="B4" s="38">
        <v>758</v>
      </c>
      <c r="C4" s="37"/>
      <c r="D4" s="37" t="s">
        <v>594</v>
      </c>
      <c r="E4" s="38">
        <v>0</v>
      </c>
      <c r="F4" s="37"/>
      <c r="G4" s="37" t="s">
        <v>595</v>
      </c>
      <c r="H4" s="38">
        <v>0</v>
      </c>
      <c r="I4" s="37"/>
      <c r="J4" s="37" t="s">
        <v>589</v>
      </c>
      <c r="K4" s="38" t="s">
        <v>592</v>
      </c>
      <c r="L4" s="37">
        <f>VLOOKUP(K4,圣遗物属性!E2:F13, 2, FALSE)</f>
        <v>46.6</v>
      </c>
      <c r="M4" s="37"/>
      <c r="N4" s="37" t="s">
        <v>389</v>
      </c>
      <c r="O4" s="37">
        <f>P4*圣遗物属性!J4</f>
        <v>0</v>
      </c>
      <c r="P4" s="38">
        <v>0</v>
      </c>
      <c r="Q4" s="37"/>
      <c r="R4" s="37"/>
      <c r="S4" s="37" t="s">
        <v>611</v>
      </c>
      <c r="T4" s="37">
        <f>IFERROR(VLOOKUP(T1,圣遗物属性!O3:P3,2,FALSE),0)</f>
        <v>0</v>
      </c>
      <c r="U4" s="37"/>
      <c r="V4" s="3"/>
      <c r="W4" s="3"/>
    </row>
    <row r="5" spans="1:23" ht="15.6" customHeight="1" x14ac:dyDescent="0.35">
      <c r="A5" s="37" t="s">
        <v>335</v>
      </c>
      <c r="B5" s="37" t="str">
        <f>VLOOKUP(B1,角色!A2:L50,12,FALSE)</f>
        <v>攻击%4</v>
      </c>
      <c r="C5" s="37"/>
      <c r="D5" s="37" t="s">
        <v>595</v>
      </c>
      <c r="E5" s="38">
        <v>0</v>
      </c>
      <c r="F5" s="37"/>
      <c r="G5" s="37" t="s">
        <v>609</v>
      </c>
      <c r="H5" s="38">
        <v>0</v>
      </c>
      <c r="I5" s="37"/>
      <c r="J5" s="37" t="s">
        <v>590</v>
      </c>
      <c r="K5" s="38" t="s">
        <v>701</v>
      </c>
      <c r="L5" s="37">
        <f>VLOOKUP(K5,圣遗物属性!E2:F13, 2, FALSE)</f>
        <v>46.6</v>
      </c>
      <c r="M5" s="37"/>
      <c r="N5" s="37" t="s">
        <v>592</v>
      </c>
      <c r="O5" s="37">
        <f>P5*圣遗物属性!J5</f>
        <v>49.499999999999993</v>
      </c>
      <c r="P5" s="38">
        <v>10</v>
      </c>
      <c r="Q5" s="37"/>
      <c r="R5" s="37"/>
      <c r="S5" s="37" t="s">
        <v>617</v>
      </c>
      <c r="T5" s="37">
        <f>IFERROR(VLOOKUP(T1,圣遗物属性!O5:P5,2,FALSE),0)</f>
        <v>0</v>
      </c>
      <c r="U5" s="37"/>
      <c r="V5" s="3"/>
    </row>
    <row r="6" spans="1:23" ht="15.6" customHeight="1" x14ac:dyDescent="0.35">
      <c r="A6" s="37" t="s">
        <v>593</v>
      </c>
      <c r="B6" s="37">
        <f>IF(B5="攻击%4",角色!O2,0)</f>
        <v>24</v>
      </c>
      <c r="C6" s="37"/>
      <c r="D6" s="37" t="s">
        <v>609</v>
      </c>
      <c r="E6" s="38">
        <v>0</v>
      </c>
      <c r="F6" s="37"/>
      <c r="G6" s="37" t="s">
        <v>610</v>
      </c>
      <c r="H6" s="38">
        <v>0</v>
      </c>
      <c r="I6" s="37"/>
      <c r="J6" s="37" t="s">
        <v>591</v>
      </c>
      <c r="K6" s="38" t="s">
        <v>694</v>
      </c>
      <c r="L6" s="37">
        <f>VLOOKUP(K6,圣遗物属性!E2:F13, 2, FALSE)</f>
        <v>31.1</v>
      </c>
      <c r="M6" s="37"/>
      <c r="N6" s="37" t="s">
        <v>594</v>
      </c>
      <c r="O6" s="37">
        <f>P6*圣遗物属性!J6</f>
        <v>0</v>
      </c>
      <c r="P6" s="38">
        <v>0</v>
      </c>
      <c r="Q6" s="37"/>
      <c r="R6" s="37"/>
      <c r="S6" s="37" t="s">
        <v>618</v>
      </c>
      <c r="T6" s="37">
        <f>IFERROR(VLOOKUP(T1,圣遗物属性!O6:P6,2,FALSE),0)</f>
        <v>0</v>
      </c>
      <c r="U6" s="37"/>
      <c r="V6" s="3"/>
      <c r="W6" s="3"/>
    </row>
    <row r="7" spans="1:23" ht="15.6" customHeight="1" x14ac:dyDescent="0.35">
      <c r="A7" s="39" t="s">
        <v>609</v>
      </c>
      <c r="B7" s="39">
        <f>5+IF(B5="暴击%5",角色!O12,0)</f>
        <v>5</v>
      </c>
      <c r="C7" s="37"/>
      <c r="D7" s="37" t="s">
        <v>610</v>
      </c>
      <c r="E7" s="38">
        <v>0</v>
      </c>
      <c r="F7" s="37"/>
      <c r="G7" s="37" t="s">
        <v>332</v>
      </c>
      <c r="H7" s="38">
        <v>0</v>
      </c>
      <c r="I7" s="37"/>
      <c r="J7" s="37"/>
      <c r="K7" s="37"/>
      <c r="L7" s="37"/>
      <c r="M7" s="37"/>
      <c r="N7" s="37" t="s">
        <v>596</v>
      </c>
      <c r="O7" s="37">
        <f>P7*圣遗物属性!J7</f>
        <v>0</v>
      </c>
      <c r="P7" s="38">
        <v>0</v>
      </c>
      <c r="Q7" s="37"/>
      <c r="R7" s="37"/>
      <c r="S7" s="40"/>
      <c r="T7" s="37"/>
      <c r="U7" s="37"/>
      <c r="V7" s="3"/>
      <c r="W7" s="3"/>
    </row>
    <row r="8" spans="1:23" ht="15.6" customHeight="1" x14ac:dyDescent="0.35">
      <c r="A8" s="39" t="s">
        <v>610</v>
      </c>
      <c r="B8" s="39">
        <f>50+IF(B5="爆伤%5",角色!O13,0)</f>
        <v>50</v>
      </c>
      <c r="C8" s="37"/>
      <c r="D8" s="37" t="s">
        <v>332</v>
      </c>
      <c r="E8" s="38">
        <v>0</v>
      </c>
      <c r="F8" s="37"/>
      <c r="G8" s="37" t="s">
        <v>606</v>
      </c>
      <c r="H8" s="38">
        <v>0</v>
      </c>
      <c r="I8" s="37"/>
      <c r="J8" s="35" t="s">
        <v>679</v>
      </c>
      <c r="K8" s="35"/>
      <c r="L8" s="35"/>
      <c r="M8" s="37"/>
      <c r="N8" s="37" t="s">
        <v>332</v>
      </c>
      <c r="O8" s="37">
        <f>P8*圣遗物属性!J8</f>
        <v>0</v>
      </c>
      <c r="P8" s="38">
        <v>0</v>
      </c>
      <c r="Q8" s="37"/>
      <c r="R8" s="37"/>
      <c r="S8" s="40"/>
      <c r="T8" s="37"/>
      <c r="U8" s="37"/>
      <c r="V8" s="3"/>
      <c r="W8" s="3"/>
    </row>
    <row r="9" spans="1:23" ht="15.6" customHeight="1" x14ac:dyDescent="0.35">
      <c r="A9" s="37" t="s">
        <v>332</v>
      </c>
      <c r="B9" s="37">
        <f>IF(B5="元素精通4",角色!O5,0)+IF(B5="元素精通5",角色!O6,0)</f>
        <v>0</v>
      </c>
      <c r="C9" s="37"/>
      <c r="D9" s="37" t="s">
        <v>606</v>
      </c>
      <c r="E9" s="38">
        <v>61.3</v>
      </c>
      <c r="F9" s="37"/>
      <c r="G9" s="37" t="s">
        <v>608</v>
      </c>
      <c r="H9" s="38">
        <v>15</v>
      </c>
      <c r="I9" s="37"/>
      <c r="J9" s="37" t="s">
        <v>330</v>
      </c>
      <c r="K9" s="38">
        <v>2173</v>
      </c>
      <c r="L9" s="37"/>
      <c r="M9" s="37"/>
      <c r="N9" s="37" t="s">
        <v>606</v>
      </c>
      <c r="O9" s="37">
        <f>P9*圣遗物属性!J9</f>
        <v>0</v>
      </c>
      <c r="P9" s="38">
        <v>0</v>
      </c>
      <c r="Q9" s="37"/>
      <c r="R9" s="37"/>
      <c r="S9" s="40"/>
      <c r="T9" s="37"/>
      <c r="U9" s="37"/>
      <c r="V9" s="3"/>
      <c r="W9" s="3"/>
    </row>
    <row r="10" spans="1:23" ht="15.6" customHeight="1" x14ac:dyDescent="0.35">
      <c r="A10" s="37" t="s">
        <v>608</v>
      </c>
      <c r="B10" s="37">
        <f>IF(B5="元素伤害%4",角色!O9,0)+IF(B5="元素伤害%5",角色!O10,0)</f>
        <v>0</v>
      </c>
      <c r="C10" s="37"/>
      <c r="D10" s="37" t="s">
        <v>607</v>
      </c>
      <c r="E10" s="38">
        <v>0</v>
      </c>
      <c r="F10" s="37"/>
      <c r="G10" s="37" t="s">
        <v>607</v>
      </c>
      <c r="H10" s="38">
        <v>0</v>
      </c>
      <c r="I10" s="37"/>
      <c r="J10" s="37" t="s">
        <v>673</v>
      </c>
      <c r="K10" s="38">
        <v>89.6</v>
      </c>
      <c r="L10" s="37"/>
      <c r="M10" s="37"/>
      <c r="N10" s="37" t="s">
        <v>609</v>
      </c>
      <c r="O10" s="37">
        <f>P10*圣遗物属性!J10</f>
        <v>19.799999999999997</v>
      </c>
      <c r="P10" s="38">
        <v>6</v>
      </c>
      <c r="Q10" s="37"/>
      <c r="R10" s="37"/>
      <c r="S10" s="40"/>
      <c r="T10" s="37"/>
      <c r="U10" s="37"/>
      <c r="V10" s="3"/>
      <c r="W10" s="3"/>
    </row>
    <row r="11" spans="1:23" ht="15.6" customHeight="1" x14ac:dyDescent="0.35">
      <c r="A11" s="37" t="s">
        <v>607</v>
      </c>
      <c r="B11" s="37">
        <f>IF(B5="物理伤害%4",角色!O11,0)</f>
        <v>0</v>
      </c>
      <c r="C11" s="37"/>
      <c r="D11" s="37" t="s">
        <v>658</v>
      </c>
      <c r="E11" s="38">
        <v>0</v>
      </c>
      <c r="F11" s="37"/>
      <c r="G11" s="37" t="s">
        <v>657</v>
      </c>
      <c r="H11" s="38">
        <v>0</v>
      </c>
      <c r="I11" s="37"/>
      <c r="J11" s="37" t="s">
        <v>674</v>
      </c>
      <c r="K11" s="38">
        <v>157.1</v>
      </c>
      <c r="L11" s="37"/>
      <c r="M11" s="37"/>
      <c r="N11" s="37" t="s">
        <v>610</v>
      </c>
      <c r="O11" s="37">
        <f>P11*圣遗物属性!J11</f>
        <v>85.8</v>
      </c>
      <c r="P11" s="38">
        <v>13</v>
      </c>
      <c r="Q11" s="37"/>
      <c r="R11" s="37"/>
      <c r="S11" s="40"/>
      <c r="T11" s="37"/>
      <c r="U11" s="37"/>
      <c r="V11" s="3"/>
      <c r="W11" s="3"/>
    </row>
    <row r="12" spans="1:23" ht="15.6" customHeight="1" x14ac:dyDescent="0.35">
      <c r="A12" s="37" t="s">
        <v>611</v>
      </c>
      <c r="B12" s="37">
        <f>IF(B5="治疗加成%5",角色!O14,0)</f>
        <v>0</v>
      </c>
      <c r="C12" s="37"/>
      <c r="D12" s="37" t="s">
        <v>639</v>
      </c>
      <c r="E12" s="38">
        <v>0</v>
      </c>
      <c r="F12" s="37"/>
      <c r="G12" s="37" t="s">
        <v>621</v>
      </c>
      <c r="H12" s="38">
        <v>0</v>
      </c>
      <c r="I12" s="37"/>
      <c r="J12" s="37" t="s">
        <v>675</v>
      </c>
      <c r="K12" s="38">
        <v>20</v>
      </c>
      <c r="L12" s="37"/>
      <c r="M12" s="37"/>
      <c r="N12" s="37" t="s">
        <v>604</v>
      </c>
      <c r="O12" s="37"/>
      <c r="P12" s="37">
        <f>SUM(P2:P11)</f>
        <v>29</v>
      </c>
      <c r="Q12" s="44">
        <v>28</v>
      </c>
      <c r="R12" s="37"/>
      <c r="S12" s="40"/>
      <c r="T12" s="37"/>
      <c r="U12" s="37"/>
      <c r="V12" s="3"/>
      <c r="W12" s="3"/>
    </row>
    <row r="13" spans="1:23" ht="15.6" customHeight="1" x14ac:dyDescent="0.35">
      <c r="A13" s="37" t="s">
        <v>658</v>
      </c>
      <c r="B13" s="38">
        <v>0</v>
      </c>
      <c r="C13" s="37"/>
      <c r="D13" s="37" t="s">
        <v>640</v>
      </c>
      <c r="E13" s="38">
        <v>0</v>
      </c>
      <c r="F13" s="37"/>
      <c r="G13" s="37" t="s">
        <v>618</v>
      </c>
      <c r="H13" s="38">
        <v>0</v>
      </c>
      <c r="I13" s="37"/>
      <c r="J13" s="37" t="s">
        <v>676</v>
      </c>
      <c r="K13" s="38">
        <v>35</v>
      </c>
      <c r="L13" s="37"/>
      <c r="M13" s="37"/>
      <c r="N13" s="37"/>
      <c r="O13" s="37"/>
      <c r="P13" s="37"/>
      <c r="Q13" s="37"/>
      <c r="R13" s="37"/>
      <c r="S13" s="40"/>
      <c r="T13" s="37"/>
      <c r="U13" s="37"/>
      <c r="V13" s="3"/>
      <c r="W13" s="3"/>
    </row>
    <row r="14" spans="1:23" ht="15.6" customHeight="1" x14ac:dyDescent="0.35">
      <c r="A14" s="37" t="s">
        <v>639</v>
      </c>
      <c r="B14" s="38">
        <v>0</v>
      </c>
      <c r="C14" s="37"/>
      <c r="D14" s="37" t="s">
        <v>663</v>
      </c>
      <c r="E14" s="38">
        <v>0</v>
      </c>
      <c r="F14" s="37"/>
      <c r="G14" s="37" t="s">
        <v>611</v>
      </c>
      <c r="H14" s="38">
        <v>0</v>
      </c>
      <c r="I14" s="37"/>
      <c r="J14" s="37" t="s">
        <v>677</v>
      </c>
      <c r="K14" s="38">
        <v>46.4</v>
      </c>
      <c r="L14" s="37"/>
      <c r="M14" s="37"/>
      <c r="N14" s="35" t="s">
        <v>672</v>
      </c>
      <c r="O14" s="35"/>
      <c r="P14" s="37"/>
      <c r="Q14" s="37"/>
      <c r="R14" s="37"/>
      <c r="S14" s="40"/>
      <c r="T14" s="37"/>
      <c r="U14" s="37"/>
      <c r="V14" s="3"/>
      <c r="W14" s="3"/>
    </row>
    <row r="15" spans="1:23" ht="15.6" customHeight="1" x14ac:dyDescent="0.35">
      <c r="A15" s="37" t="s">
        <v>640</v>
      </c>
      <c r="B15" s="38">
        <v>0</v>
      </c>
      <c r="C15" s="37"/>
      <c r="D15" s="37" t="s">
        <v>670</v>
      </c>
      <c r="E15" s="38">
        <v>0</v>
      </c>
      <c r="F15" s="37"/>
      <c r="G15" s="37"/>
      <c r="H15" s="37"/>
      <c r="I15" s="37"/>
      <c r="J15" s="37" t="s">
        <v>678</v>
      </c>
      <c r="K15" s="38">
        <v>0</v>
      </c>
      <c r="L15" s="37"/>
      <c r="M15" s="37"/>
      <c r="N15" s="37" t="s">
        <v>644</v>
      </c>
      <c r="O15" s="37">
        <f>K9*H24/100*((K12+K13+K14)/100+1)*(E20+100)/((E20+100)+(1-K15/100)*(E21+100))*(IF(K17&gt;75,1/(1+4*K17/100),0)+IF(AND(K17&gt;=0,K17&lt;=75),1-K17/100,0)+IF(K17&lt;0,1-K17/100/2,0))</f>
        <v>7427.13824776</v>
      </c>
      <c r="P15" s="37"/>
      <c r="Q15" s="37"/>
      <c r="R15" s="37"/>
      <c r="S15" s="40"/>
      <c r="T15" s="37"/>
      <c r="U15" s="37"/>
      <c r="V15" s="3"/>
      <c r="W15" s="3"/>
    </row>
    <row r="16" spans="1:23" ht="15.6" customHeight="1" x14ac:dyDescent="0.35">
      <c r="A16" s="37" t="s">
        <v>663</v>
      </c>
      <c r="B16" s="38">
        <v>0</v>
      </c>
      <c r="C16" s="37"/>
      <c r="D16" s="37"/>
      <c r="E16" s="37"/>
      <c r="F16" s="37"/>
      <c r="G16" s="37"/>
      <c r="H16" s="37"/>
      <c r="I16" s="37"/>
      <c r="J16" s="37" t="s">
        <v>618</v>
      </c>
      <c r="K16" s="38">
        <v>20</v>
      </c>
      <c r="L16" s="37"/>
      <c r="M16" s="37"/>
      <c r="N16" s="37" t="s">
        <v>597</v>
      </c>
      <c r="O16" s="37">
        <f>K9*H24/100*((K12+K13+K14)/100+1)*(E20+100)/((E20+100)+(1-K15/100)*(E21+100))*(IF(K17&gt;75,1/(1+4*K17/100),0)+IF(AND(K17&gt;=0,K17&lt;=75),1-K17/100,0)+IF(K17&lt;0,1-K17/100/2,0))*(K11/100+1)</f>
        <v>19095.172434990956</v>
      </c>
      <c r="P16" s="37"/>
      <c r="Q16" s="37"/>
      <c r="R16" s="37"/>
      <c r="S16" s="40"/>
      <c r="T16" s="37"/>
      <c r="U16" s="37"/>
      <c r="V16" s="3"/>
      <c r="W16" s="3"/>
    </row>
    <row r="17" spans="1:25" ht="15.6" customHeight="1" x14ac:dyDescent="0.35">
      <c r="A17" s="37" t="s">
        <v>670</v>
      </c>
      <c r="B17" s="38">
        <v>0</v>
      </c>
      <c r="C17" s="37"/>
      <c r="D17" s="37"/>
      <c r="E17" s="37"/>
      <c r="F17" s="37"/>
      <c r="G17" s="37"/>
      <c r="H17" s="37"/>
      <c r="I17" s="37"/>
      <c r="J17" s="37" t="s">
        <v>669</v>
      </c>
      <c r="K17" s="37">
        <f>E22-K16</f>
        <v>-10</v>
      </c>
      <c r="L17" s="37"/>
      <c r="M17" s="37"/>
      <c r="N17" s="37" t="s">
        <v>645</v>
      </c>
      <c r="O17" s="37">
        <f>K9*H24/100*((K12+K13+K14)/100+1)*(E20+100)/((E20+100)+(1-K15/100)*(E21+100))*(IF(K17&gt;75,1/(1+4*K17/100),0)+IF(AND(K17&gt;=0,K17&lt;=75),1-K17/100,0)+IF(K17&lt;0,1-K17/100/2,0))*(K10/100*K11/100+1)</f>
        <v>17881.696879518939</v>
      </c>
      <c r="P17" s="37"/>
      <c r="Q17" s="37"/>
      <c r="R17" s="37"/>
      <c r="S17" s="40"/>
      <c r="T17" s="37"/>
      <c r="U17" s="37"/>
      <c r="V17" s="3"/>
      <c r="W17" s="3"/>
    </row>
    <row r="18" spans="1:25" ht="15.6" customHeight="1" x14ac:dyDescent="0.35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40"/>
      <c r="T18" s="37"/>
      <c r="U18" s="37"/>
      <c r="V18" s="3"/>
      <c r="W18" s="3"/>
    </row>
    <row r="19" spans="1:25" ht="15.6" customHeight="1" x14ac:dyDescent="0.35">
      <c r="A19" s="35" t="s">
        <v>702</v>
      </c>
      <c r="B19" s="37"/>
      <c r="C19" s="37"/>
      <c r="D19" s="35" t="s">
        <v>664</v>
      </c>
      <c r="E19" s="37"/>
      <c r="F19" s="37"/>
      <c r="G19" s="35" t="s">
        <v>643</v>
      </c>
      <c r="H19" s="37"/>
      <c r="I19" s="37"/>
      <c r="J19" s="35" t="s">
        <v>641</v>
      </c>
      <c r="K19" s="37"/>
      <c r="L19" s="37"/>
      <c r="M19" s="37"/>
      <c r="N19" s="37"/>
      <c r="O19" s="37"/>
      <c r="P19" s="37"/>
      <c r="Q19" s="40"/>
      <c r="R19" s="35" t="s">
        <v>625</v>
      </c>
      <c r="S19" s="35"/>
      <c r="T19" s="37"/>
      <c r="U19" s="37"/>
      <c r="V19" s="3"/>
      <c r="W19" s="3"/>
      <c r="X19" s="3"/>
      <c r="Y19" s="3"/>
    </row>
    <row r="20" spans="1:25" ht="15.6" customHeight="1" x14ac:dyDescent="0.35">
      <c r="A20" s="37" t="s">
        <v>581</v>
      </c>
      <c r="B20" s="37">
        <f>B2+E2</f>
        <v>656</v>
      </c>
      <c r="C20" s="37"/>
      <c r="D20" s="37" t="s">
        <v>665</v>
      </c>
      <c r="E20" s="38">
        <v>90</v>
      </c>
      <c r="F20" s="37"/>
      <c r="G20" s="37" t="s">
        <v>653</v>
      </c>
      <c r="H20" s="38">
        <v>319</v>
      </c>
      <c r="I20" s="37"/>
      <c r="J20" s="37" t="s">
        <v>649</v>
      </c>
      <c r="K20" s="41">
        <f>B24/B20</f>
        <v>2.6750853658536582</v>
      </c>
      <c r="L20" s="37"/>
      <c r="M20" s="37"/>
      <c r="N20" s="35" t="s">
        <v>646</v>
      </c>
      <c r="O20" s="37"/>
      <c r="P20" s="37"/>
      <c r="Q20" s="40"/>
      <c r="R20" s="37" t="s">
        <v>581</v>
      </c>
      <c r="S20" s="38">
        <v>656</v>
      </c>
      <c r="T20" s="37"/>
      <c r="U20" s="37"/>
      <c r="V20" s="3"/>
      <c r="W20" s="3"/>
      <c r="X20" s="3"/>
      <c r="Y20" s="3"/>
    </row>
    <row r="21" spans="1:25" ht="15.6" customHeight="1" x14ac:dyDescent="0.35">
      <c r="A21" s="37" t="s">
        <v>582</v>
      </c>
      <c r="B21" s="37">
        <f>L3+O2+B20*(B6+E3+H2+O5+T2+IF(K4="攻击%",圣遗物属性!F4,0)+IF(K5="攻击%",圣遗物属性!F4,0)+IF(K6="攻击%",圣遗物属性!F4,0))/100</f>
        <v>1098.8559999999998</v>
      </c>
      <c r="C21" s="37"/>
      <c r="D21" s="37" t="s">
        <v>666</v>
      </c>
      <c r="E21" s="38">
        <v>85</v>
      </c>
      <c r="F21" s="37"/>
      <c r="G21" s="37" t="s">
        <v>656</v>
      </c>
      <c r="H21" s="38">
        <v>0</v>
      </c>
      <c r="I21" s="37"/>
      <c r="J21" s="37" t="s">
        <v>662</v>
      </c>
      <c r="K21" s="42">
        <f>H24/100</f>
        <v>3.19</v>
      </c>
      <c r="L21" s="37"/>
      <c r="M21" s="37"/>
      <c r="N21" s="46" t="s">
        <v>644</v>
      </c>
      <c r="O21" s="47">
        <f>B20*K20*K21*K22*K23*K26*K27*K28</f>
        <v>4125.1369106534403</v>
      </c>
      <c r="P21" s="47"/>
      <c r="Q21" s="40"/>
      <c r="R21" s="37" t="s">
        <v>579</v>
      </c>
      <c r="S21" s="37">
        <f>S20-E2</f>
        <v>202</v>
      </c>
      <c r="T21" s="37"/>
      <c r="U21" s="37"/>
      <c r="V21" s="3"/>
      <c r="W21" s="3"/>
      <c r="X21" s="3"/>
      <c r="Y21" s="3"/>
    </row>
    <row r="22" spans="1:25" ht="15.6" customHeight="1" x14ac:dyDescent="0.35">
      <c r="A22" s="37" t="s">
        <v>623</v>
      </c>
      <c r="B22" s="37">
        <f>B21+B20*(B14+E12)/100</f>
        <v>1098.8559999999998</v>
      </c>
      <c r="C22" s="37"/>
      <c r="D22" s="37" t="s">
        <v>668</v>
      </c>
      <c r="E22" s="38">
        <v>10</v>
      </c>
      <c r="F22" s="37"/>
      <c r="G22" s="37" t="s">
        <v>642</v>
      </c>
      <c r="H22" s="38">
        <v>1</v>
      </c>
      <c r="I22" s="37"/>
      <c r="J22" s="37" t="s">
        <v>650</v>
      </c>
      <c r="K22" s="41">
        <f>(B11+B13+B15+E10+E11+E13+H9+H10+H11+IF(K5="元素伤害%",圣遗物属性!F7,0)+T5)/100+1</f>
        <v>1.6160000000000001</v>
      </c>
      <c r="L22" s="37"/>
      <c r="M22" s="37"/>
      <c r="N22" s="46"/>
      <c r="O22" s="47"/>
      <c r="P22" s="47"/>
      <c r="Q22" s="40"/>
      <c r="R22" s="37"/>
      <c r="S22" s="37"/>
      <c r="T22" s="37"/>
      <c r="U22" s="37"/>
      <c r="V22" s="3"/>
      <c r="W22" s="3"/>
      <c r="X22" s="3"/>
      <c r="Y22" s="3"/>
    </row>
    <row r="23" spans="1:25" ht="15.6" customHeight="1" x14ac:dyDescent="0.35">
      <c r="A23" s="37" t="s">
        <v>622</v>
      </c>
      <c r="B23" s="37">
        <f>B20+B21</f>
        <v>1754.8559999999998</v>
      </c>
      <c r="C23" s="37"/>
      <c r="D23" s="37" t="s">
        <v>669</v>
      </c>
      <c r="E23" s="37">
        <f>E22-(B17+E15+H13+T6)</f>
        <v>10</v>
      </c>
      <c r="F23" s="37"/>
      <c r="G23" s="37" t="s">
        <v>655</v>
      </c>
      <c r="H23" s="38">
        <v>0</v>
      </c>
      <c r="I23" s="37"/>
      <c r="J23" s="37" t="s">
        <v>660</v>
      </c>
      <c r="K23" s="37">
        <v>1</v>
      </c>
      <c r="L23" s="37"/>
      <c r="M23" s="37"/>
      <c r="N23" s="46" t="s">
        <v>597</v>
      </c>
      <c r="O23" s="47">
        <f>B20*K20*K21*K22*K24*K26*K27*K28</f>
        <v>9727.0728353208124</v>
      </c>
      <c r="P23" s="47"/>
      <c r="Q23" s="40"/>
      <c r="R23" s="48" t="s">
        <v>647</v>
      </c>
      <c r="S23" s="48"/>
      <c r="T23" s="37" t="s">
        <v>603</v>
      </c>
      <c r="U23" s="37"/>
      <c r="V23" s="3"/>
      <c r="W23" s="3"/>
      <c r="X23" s="3"/>
      <c r="Y23" s="3"/>
    </row>
    <row r="24" spans="1:25" ht="15.6" customHeight="1" x14ac:dyDescent="0.35">
      <c r="A24" s="37" t="s">
        <v>624</v>
      </c>
      <c r="B24" s="37">
        <f>B20+B22</f>
        <v>1754.8559999999998</v>
      </c>
      <c r="C24" s="37"/>
      <c r="D24" s="37"/>
      <c r="E24" s="37"/>
      <c r="F24" s="37"/>
      <c r="G24" s="37" t="s">
        <v>654</v>
      </c>
      <c r="H24" s="37">
        <f>(H20+H21)*H22+H23</f>
        <v>319</v>
      </c>
      <c r="I24" s="37"/>
      <c r="J24" s="37" t="s">
        <v>659</v>
      </c>
      <c r="K24" s="41">
        <f>B29/100+1</f>
        <v>2.3580000000000001</v>
      </c>
      <c r="L24" s="37"/>
      <c r="M24" s="37"/>
      <c r="N24" s="46"/>
      <c r="O24" s="47"/>
      <c r="P24" s="47"/>
      <c r="Q24" s="40"/>
      <c r="R24" s="37" t="s">
        <v>594</v>
      </c>
      <c r="S24" s="38">
        <v>6391</v>
      </c>
      <c r="T24" s="37">
        <f>((S24-圣遗物属性!F2)/(B3)*100-(IF(K4="生命%",圣遗物属性!F5,0)+IF(K5="生命%",圣遗物属性!F5,0)+IF(K6="生命%",圣遗物属性!F5,0)))/圣遗物属性!J6</f>
        <v>3.1838636808310063</v>
      </c>
      <c r="U24" s="37"/>
      <c r="V24" s="3"/>
      <c r="W24" s="3"/>
      <c r="X24" s="3"/>
      <c r="Y24" s="3"/>
    </row>
    <row r="25" spans="1:25" ht="15.6" customHeight="1" x14ac:dyDescent="0.35">
      <c r="A25" s="37" t="s">
        <v>584</v>
      </c>
      <c r="B25" s="37">
        <f>B3+L2+O3+B3*(E4+H3+O6+IF(K4="生命%",圣遗物属性!F5,0)+IF(K5="生命%",圣遗物属性!F5,0)+IF(K6="生命%",圣遗物属性!F5,0))/100</f>
        <v>15002</v>
      </c>
      <c r="C25" s="37"/>
      <c r="D25" s="37"/>
      <c r="E25" s="37"/>
      <c r="F25" s="37"/>
      <c r="G25" s="37"/>
      <c r="H25" s="37"/>
      <c r="I25" s="37"/>
      <c r="J25" s="37" t="s">
        <v>661</v>
      </c>
      <c r="K25" s="41">
        <f>IF(B28&gt;=100,100,B28)/100*B29/100+1</f>
        <v>1.7591220000000001</v>
      </c>
      <c r="L25" s="37"/>
      <c r="M25" s="37"/>
      <c r="N25" s="46" t="s">
        <v>645</v>
      </c>
      <c r="O25" s="47">
        <f>B20*K20*K21*K22*K25*K26*K27*K28</f>
        <v>7256.6190925425017</v>
      </c>
      <c r="P25" s="47"/>
      <c r="Q25" s="40"/>
      <c r="R25" s="37" t="s">
        <v>593</v>
      </c>
      <c r="S25" s="38">
        <v>957</v>
      </c>
      <c r="T25" s="37">
        <f>((S25-圣遗物属性!F3)/B20*100-H2-(IF(K4="攻击%",圣遗物属性!F4,0)+IF(K5="攻击%",圣遗物属性!F4,0)+IF(K6="攻击%",圣遗物属性!F4,0)))/圣遗物属性!J5</f>
        <v>10.479921162847992</v>
      </c>
      <c r="U25" s="37"/>
      <c r="V25" s="3"/>
      <c r="W25" s="3"/>
      <c r="X25" s="3"/>
      <c r="Y25" s="3"/>
    </row>
    <row r="26" spans="1:25" ht="15.6" customHeight="1" x14ac:dyDescent="0.35">
      <c r="A26" s="37" t="s">
        <v>389</v>
      </c>
      <c r="B26" s="37">
        <f>B4+O4+B4*(E5+H4+O7+IF(K4="防御%",圣遗物属性!F6,0)+IF(K5="防御%",圣遗物属性!F6,0)+IF(K6="防御%",圣遗物属性!F6,0))/100</f>
        <v>758</v>
      </c>
      <c r="C26" s="37"/>
      <c r="D26" s="37"/>
      <c r="E26" s="37"/>
      <c r="F26" s="37"/>
      <c r="G26" s="37"/>
      <c r="H26" s="37"/>
      <c r="I26" s="37"/>
      <c r="J26" s="37" t="s">
        <v>651</v>
      </c>
      <c r="K26" s="37">
        <v>1</v>
      </c>
      <c r="L26" s="37"/>
      <c r="M26" s="37"/>
      <c r="N26" s="46"/>
      <c r="O26" s="47"/>
      <c r="P26" s="47"/>
      <c r="Q26" s="40"/>
      <c r="R26" s="37" t="s">
        <v>596</v>
      </c>
      <c r="S26" s="38">
        <v>79</v>
      </c>
      <c r="T26" s="37">
        <f>(S26/B4*100-(IF(K4="防御%",圣遗物属性!F6,0)+IF(K5="防御%",圣遗物属性!F6,0)+IF(K6="防御%",圣遗物属性!F6,0)))/圣遗物属性!J7</f>
        <v>1.6809941271597586</v>
      </c>
      <c r="U26" s="37"/>
      <c r="V26" s="3"/>
      <c r="W26" s="3"/>
      <c r="X26" s="3"/>
      <c r="Y26" s="3"/>
    </row>
    <row r="27" spans="1:25" ht="15.6" customHeight="1" x14ac:dyDescent="0.35">
      <c r="A27" s="37" t="s">
        <v>332</v>
      </c>
      <c r="B27" s="37">
        <f>B9+E8+H7+O8+IF(K4="元素精通",圣遗物属性!F9,0)+IF(K5="元素精通",圣遗物属性!F9,0)+IF(K6="元素精通",圣遗物属性!F9,0)</f>
        <v>0</v>
      </c>
      <c r="C27" s="37"/>
      <c r="D27" s="37" t="s">
        <v>696</v>
      </c>
      <c r="E27" s="37">
        <f>3*(B28/100*B29/100+1)</f>
        <v>5.2773660000000007</v>
      </c>
      <c r="F27" s="37"/>
      <c r="G27" s="37"/>
      <c r="H27" s="37"/>
      <c r="I27" s="37"/>
      <c r="J27" s="37" t="s">
        <v>652</v>
      </c>
      <c r="K27" s="41">
        <f>(E20+100)/((E20+100)+(1-(B16+E14)/100)*(E21+100))</f>
        <v>0.50666666666666671</v>
      </c>
      <c r="L27" s="37"/>
      <c r="M27" s="37"/>
      <c r="N27" s="37"/>
      <c r="O27" s="37"/>
      <c r="P27" s="37"/>
      <c r="Q27" s="40"/>
      <c r="R27" s="37" t="s">
        <v>332</v>
      </c>
      <c r="S27" s="38">
        <v>0</v>
      </c>
      <c r="T27" s="37">
        <f>(S27-(IF(K4="元素精通",圣遗物属性!F9,0)+IF(K5="元素精通",圣遗物属性!F9,0)+IF(K6="元素精通",圣遗物属性!F9,0)))/圣遗物属性!J8</f>
        <v>0</v>
      </c>
      <c r="U27" s="37"/>
      <c r="V27" s="3"/>
      <c r="W27" s="3"/>
      <c r="X27" s="3"/>
      <c r="Y27" s="3"/>
    </row>
    <row r="28" spans="1:25" ht="15.6" customHeight="1" x14ac:dyDescent="0.35">
      <c r="A28" s="37" t="s">
        <v>609</v>
      </c>
      <c r="B28" s="37">
        <f>B7+E6+H5+O10+T3+IF(K6="暴击%",圣遗物属性!F11,0)</f>
        <v>55.9</v>
      </c>
      <c r="C28" s="37"/>
      <c r="D28" s="37" t="s">
        <v>697</v>
      </c>
      <c r="E28" s="37">
        <f>2*K20*B29/100</f>
        <v>7.2655318536585369</v>
      </c>
      <c r="F28" s="37"/>
      <c r="G28" s="37"/>
      <c r="H28" s="37"/>
      <c r="I28" s="37"/>
      <c r="J28" s="37" t="s">
        <v>667</v>
      </c>
      <c r="K28" s="41">
        <f>IF(E23&gt;75,1/(1+4*E23/100),0)+IF(AND(E23&gt;=0,E23&lt;=75),1-E23/100,0)+IF(E23&lt;0,1-E23/100/2,0)</f>
        <v>0.9</v>
      </c>
      <c r="L28" s="37"/>
      <c r="M28" s="37"/>
      <c r="N28" s="37"/>
      <c r="O28" s="37"/>
      <c r="P28" s="37"/>
      <c r="Q28" s="40"/>
      <c r="R28" s="37" t="s">
        <v>609</v>
      </c>
      <c r="S28" s="38">
        <v>52.1</v>
      </c>
      <c r="T28" s="37">
        <f>(S28-IF(K6="暴击%",圣遗物属性!F11,0))/圣遗物属性!J10</f>
        <v>6.3636363636363642</v>
      </c>
      <c r="U28" s="37"/>
      <c r="V28" s="3"/>
      <c r="W28" s="3"/>
      <c r="X28" s="3"/>
      <c r="Y28" s="3"/>
    </row>
    <row r="29" spans="1:25" ht="15.6" customHeight="1" x14ac:dyDescent="0.35">
      <c r="A29" s="37" t="s">
        <v>610</v>
      </c>
      <c r="B29" s="37">
        <f>B8+E7+H6+O11+IF(K6="爆伤%",圣遗物属性!F12,0)</f>
        <v>135.80000000000001</v>
      </c>
      <c r="C29" s="37"/>
      <c r="D29" s="37" t="s">
        <v>698</v>
      </c>
      <c r="E29" s="37">
        <f>4*K20*B28/100</f>
        <v>5.9814908780487794</v>
      </c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40"/>
      <c r="R29" s="37" t="s">
        <v>610</v>
      </c>
      <c r="S29" s="38">
        <v>78.5</v>
      </c>
      <c r="T29" s="37">
        <f>(S29-IF(K6="爆伤%",圣遗物属性!F12,0))/圣遗物属性!J11</f>
        <v>11.893939393939394</v>
      </c>
      <c r="U29" s="37"/>
      <c r="V29" s="3"/>
      <c r="W29" s="3"/>
      <c r="X29" s="3"/>
      <c r="Y29" s="3"/>
    </row>
    <row r="30" spans="1:25" ht="15.6" customHeight="1" x14ac:dyDescent="0.35">
      <c r="A30" s="37" t="s">
        <v>606</v>
      </c>
      <c r="B30" s="37">
        <f>100+E9+H8+O9+IF(K4="充能效率%",圣遗物属性!F10,0)</f>
        <v>161.30000000000001</v>
      </c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40"/>
      <c r="R30" s="37" t="s">
        <v>606</v>
      </c>
      <c r="S30" s="38">
        <v>22</v>
      </c>
      <c r="T30" s="37">
        <f>(S30-IF(K4="充能效率%",圣遗物属性!F10,0))/圣遗物属性!J9</f>
        <v>4</v>
      </c>
      <c r="U30" s="37"/>
      <c r="V30" s="3"/>
      <c r="W30" s="3"/>
      <c r="X30" s="3"/>
      <c r="Y30" s="3"/>
    </row>
    <row r="31" spans="1:25" ht="15.6" customHeight="1" x14ac:dyDescent="0.35">
      <c r="A31" s="37" t="s">
        <v>608</v>
      </c>
      <c r="B31" s="37">
        <f>B10+E13+H9+IF(K5="元素伤害%",圣遗物属性!F7,0)</f>
        <v>61.6</v>
      </c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"/>
      <c r="W31" s="3"/>
      <c r="X31" s="3"/>
      <c r="Y31" s="3"/>
    </row>
    <row r="32" spans="1:25" ht="15.6" customHeight="1" x14ac:dyDescent="0.35">
      <c r="A32" s="37" t="s">
        <v>607</v>
      </c>
      <c r="B32" s="37">
        <f>B11+E10+H10+IF(K5="物理伤害%",圣遗物属性!F8,0)</f>
        <v>0</v>
      </c>
      <c r="C32" s="37"/>
      <c r="D32" s="37"/>
      <c r="E32" s="37"/>
      <c r="F32" s="37"/>
      <c r="G32" s="37"/>
      <c r="H32" s="37"/>
      <c r="I32" s="42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"/>
      <c r="W32" s="3"/>
      <c r="X32" s="3"/>
      <c r="Y32" s="3"/>
    </row>
    <row r="33" spans="1:24" ht="15.6" customHeight="1" x14ac:dyDescent="0.35">
      <c r="A33" s="37" t="s">
        <v>611</v>
      </c>
      <c r="B33" s="37">
        <f>B12+H14+T4+IF(K5="治疗加成%",圣遗物属性!F13,0)</f>
        <v>0</v>
      </c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"/>
      <c r="W33" s="3"/>
      <c r="X33" s="3"/>
    </row>
    <row r="34" spans="1:24" ht="15.6" customHeight="1" x14ac:dyDescent="0.35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"/>
      <c r="W34" s="3"/>
      <c r="X34" s="3"/>
    </row>
    <row r="35" spans="1:24" ht="15.6" customHeight="1" x14ac:dyDescent="0.35">
      <c r="A35" s="37"/>
      <c r="B35" s="37"/>
      <c r="C35" s="37"/>
      <c r="D35" s="37"/>
      <c r="E35" s="37"/>
      <c r="F35" s="37"/>
      <c r="G35" s="42"/>
      <c r="H35" s="42"/>
      <c r="I35" s="41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"/>
      <c r="W35" s="3"/>
    </row>
    <row r="36" spans="1:24" ht="15.6" customHeight="1" x14ac:dyDescent="0.35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40"/>
      <c r="R36" s="40"/>
      <c r="S36" s="40"/>
      <c r="T36" s="37"/>
      <c r="U36" s="37"/>
      <c r="V36" s="3"/>
      <c r="W36" s="3"/>
    </row>
    <row r="37" spans="1:24" ht="15.6" customHeight="1" x14ac:dyDescent="0.35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40"/>
      <c r="R37" s="40"/>
      <c r="S37" s="40"/>
      <c r="T37" s="37"/>
      <c r="U37" s="37"/>
      <c r="V37" s="3"/>
      <c r="W37" s="3"/>
    </row>
    <row r="38" spans="1:24" ht="15.6" customHeight="1" x14ac:dyDescent="0.35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40"/>
      <c r="R38" s="40"/>
      <c r="S38" s="40"/>
      <c r="T38" s="37"/>
      <c r="U38" s="37"/>
      <c r="V38" s="3"/>
      <c r="W38" s="3"/>
    </row>
    <row r="39" spans="1:24" ht="15.6" customHeight="1" x14ac:dyDescent="0.35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40"/>
      <c r="R39" s="40"/>
      <c r="S39" s="40"/>
      <c r="T39" s="37"/>
      <c r="U39" s="37"/>
      <c r="V39" s="3"/>
      <c r="W39" s="3"/>
    </row>
    <row r="40" spans="1:24" ht="15.6" customHeight="1" x14ac:dyDescent="0.35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40"/>
      <c r="R40" s="40"/>
      <c r="S40" s="40"/>
      <c r="T40" s="37"/>
      <c r="U40" s="37"/>
      <c r="V40" s="3"/>
      <c r="W40" s="3"/>
    </row>
    <row r="41" spans="1:24" ht="15.6" customHeight="1" x14ac:dyDescent="0.35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40"/>
      <c r="R41" s="40"/>
      <c r="S41" s="40"/>
      <c r="T41" s="37"/>
      <c r="U41" s="37"/>
      <c r="V41" s="3"/>
      <c r="W41" s="3"/>
    </row>
    <row r="42" spans="1:24" ht="15.6" customHeight="1" x14ac:dyDescent="0.35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40"/>
      <c r="R42" s="40"/>
      <c r="S42" s="40"/>
      <c r="T42" s="37"/>
      <c r="U42" s="37"/>
      <c r="V42" s="3"/>
      <c r="W42" s="3"/>
    </row>
    <row r="43" spans="1:24" ht="15.6" customHeight="1" x14ac:dyDescent="0.35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40"/>
      <c r="R43" s="40"/>
      <c r="S43" s="40"/>
      <c r="T43" s="37"/>
      <c r="U43" s="37"/>
      <c r="V43" s="3"/>
      <c r="W43" s="3"/>
    </row>
    <row r="44" spans="1:24" ht="15.6" customHeight="1" x14ac:dyDescent="0.35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"/>
      <c r="W44" s="3"/>
    </row>
    <row r="45" spans="1:24" ht="15.6" customHeight="1" x14ac:dyDescent="0.3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7"/>
      <c r="O45" s="37"/>
      <c r="P45" s="37"/>
      <c r="Q45" s="3"/>
      <c r="R45" s="3"/>
      <c r="S45" s="3"/>
      <c r="T45" s="3"/>
      <c r="U45" s="3"/>
      <c r="V45" s="3"/>
      <c r="W45" s="3"/>
    </row>
    <row r="46" spans="1:24" ht="15.6" customHeight="1" x14ac:dyDescent="0.3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24" ht="15.6" customHeight="1" x14ac:dyDescent="0.3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24" ht="15.6" customHeight="1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1:23" ht="15.6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1:23" ht="15.6" customHeight="1" x14ac:dyDescent="0.3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1:23" ht="15.6" customHeight="1" x14ac:dyDescent="0.3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</row>
    <row r="52" spans="1:23" ht="15.6" customHeight="1" x14ac:dyDescent="0.3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</row>
    <row r="53" spans="1:23" ht="15.6" customHeight="1" x14ac:dyDescent="0.3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</row>
    <row r="54" spans="1:23" ht="15.6" customHeight="1" x14ac:dyDescent="0.3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</row>
    <row r="55" spans="1:23" ht="15.6" customHeight="1" x14ac:dyDescent="0.3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</row>
    <row r="56" spans="1:23" ht="15.6" customHeight="1" x14ac:dyDescent="0.3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</row>
    <row r="57" spans="1:23" ht="15.6" customHeight="1" x14ac:dyDescent="0.3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</row>
    <row r="58" spans="1:23" ht="15.6" customHeight="1" x14ac:dyDescent="0.3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</row>
    <row r="59" spans="1:23" ht="15.6" customHeight="1" x14ac:dyDescent="0.3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</row>
    <row r="60" spans="1:23" ht="15.6" customHeight="1" x14ac:dyDescent="0.3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</row>
    <row r="61" spans="1:23" ht="15.6" customHeight="1" x14ac:dyDescent="0.3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</row>
    <row r="62" spans="1:23" ht="15.6" customHeight="1" x14ac:dyDescent="0.3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</row>
    <row r="63" spans="1:23" ht="15.6" customHeight="1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4" spans="1:23" ht="15.6" customHeight="1" x14ac:dyDescent="0.3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</row>
    <row r="65" spans="1:23" ht="15.6" customHeight="1" x14ac:dyDescent="0.3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</row>
    <row r="66" spans="1:23" ht="15.6" customHeight="1" x14ac:dyDescent="0.3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</row>
    <row r="67" spans="1:23" ht="15.6" customHeight="1" x14ac:dyDescent="0.3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</row>
    <row r="68" spans="1:23" ht="15.6" customHeight="1" x14ac:dyDescent="0.3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</row>
    <row r="69" spans="1:23" ht="15.6" customHeight="1" x14ac:dyDescent="0.3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</row>
    <row r="70" spans="1:23" ht="15.6" customHeight="1" x14ac:dyDescent="0.3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</row>
    <row r="71" spans="1:23" ht="15.6" customHeight="1" x14ac:dyDescent="0.3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</row>
    <row r="72" spans="1:23" ht="15.6" customHeight="1" x14ac:dyDescent="0.3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</row>
    <row r="73" spans="1:23" ht="15.6" customHeight="1" x14ac:dyDescent="0.3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</row>
    <row r="74" spans="1:23" ht="15.6" customHeight="1" x14ac:dyDescent="0.3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</row>
    <row r="75" spans="1:23" ht="15.6" customHeight="1" x14ac:dyDescent="0.3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1:23" ht="15.6" customHeight="1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</row>
    <row r="77" spans="1:23" ht="15.6" customHeight="1" x14ac:dyDescent="0.3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</row>
    <row r="78" spans="1:23" ht="15.6" customHeight="1" x14ac:dyDescent="0.3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</row>
    <row r="79" spans="1:23" ht="15.6" customHeight="1" x14ac:dyDescent="0.3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</row>
    <row r="80" spans="1:23" ht="15.6" customHeight="1" x14ac:dyDescent="0.3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</row>
    <row r="81" spans="1:23" ht="15.6" customHeight="1" x14ac:dyDescent="0.3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</row>
    <row r="82" spans="1:23" ht="15.6" customHeight="1" x14ac:dyDescent="0.3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</row>
    <row r="83" spans="1:23" ht="15.6" customHeight="1" x14ac:dyDescent="0.3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</row>
    <row r="84" spans="1:23" ht="15.6" customHeight="1" x14ac:dyDescent="0.3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</row>
    <row r="85" spans="1:23" ht="15.6" customHeight="1" x14ac:dyDescent="0.3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6" spans="1:23" ht="15.6" customHeight="1" x14ac:dyDescent="0.3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</row>
    <row r="87" spans="1:23" ht="15.6" x14ac:dyDescent="0.3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</row>
    <row r="88" spans="1:23" ht="15.6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</row>
    <row r="89" spans="1:23" ht="15.6" x14ac:dyDescent="0.3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</row>
    <row r="90" spans="1:23" ht="15.6" x14ac:dyDescent="0.3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</row>
    <row r="91" spans="1:23" ht="15.6" x14ac:dyDescent="0.3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</row>
    <row r="92" spans="1:23" ht="15.6" x14ac:dyDescent="0.3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</row>
    <row r="93" spans="1:23" ht="15.6" x14ac:dyDescent="0.3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</row>
    <row r="94" spans="1:23" ht="15.6" x14ac:dyDescent="0.3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</row>
    <row r="95" spans="1:23" ht="15.6" x14ac:dyDescent="0.3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</row>
    <row r="96" spans="1:23" ht="15.6" x14ac:dyDescent="0.3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</row>
    <row r="97" spans="1:23" ht="15.6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</row>
    <row r="98" spans="1:23" ht="15.6" x14ac:dyDescent="0.3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</row>
    <row r="99" spans="1:23" ht="15.6" x14ac:dyDescent="0.3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</row>
    <row r="100" spans="1:23" ht="15.6" x14ac:dyDescent="0.3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</row>
    <row r="101" spans="1:23" ht="15.6" x14ac:dyDescent="0.3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</row>
    <row r="102" spans="1:23" ht="15.6" x14ac:dyDescent="0.3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</row>
    <row r="103" spans="1:23" ht="15.6" x14ac:dyDescent="0.3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</row>
    <row r="104" spans="1:23" ht="15.6" x14ac:dyDescent="0.3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</row>
    <row r="105" spans="1:23" ht="15.6" x14ac:dyDescent="0.3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</row>
    <row r="106" spans="1:23" ht="15.6" x14ac:dyDescent="0.3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</row>
    <row r="107" spans="1:23" ht="15.6" x14ac:dyDescent="0.3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8" spans="1:23" ht="15.6" x14ac:dyDescent="0.3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</row>
    <row r="109" spans="1:23" ht="15.6" x14ac:dyDescent="0.3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</row>
    <row r="110" spans="1:23" ht="15.6" x14ac:dyDescent="0.3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</row>
    <row r="111" spans="1:23" ht="15.6" x14ac:dyDescent="0.3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</row>
    <row r="112" spans="1:23" ht="15.6" x14ac:dyDescent="0.3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</row>
    <row r="113" spans="1:23" ht="15.6" x14ac:dyDescent="0.3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</row>
    <row r="114" spans="1:23" ht="15.6" x14ac:dyDescent="0.3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</row>
    <row r="115" spans="1:23" ht="15.6" x14ac:dyDescent="0.3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</row>
    <row r="116" spans="1:23" ht="15.6" x14ac:dyDescent="0.3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</row>
    <row r="117" spans="1:23" ht="15.6" x14ac:dyDescent="0.3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</row>
    <row r="118" spans="1:23" ht="15.6" x14ac:dyDescent="0.3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</row>
    <row r="119" spans="1:23" ht="15.6" x14ac:dyDescent="0.3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</row>
    <row r="120" spans="1:23" ht="15.6" x14ac:dyDescent="0.3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</row>
    <row r="121" spans="1:23" ht="15.6" x14ac:dyDescent="0.3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</row>
    <row r="122" spans="1:23" ht="15.6" x14ac:dyDescent="0.3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</row>
    <row r="123" spans="1:23" ht="15.6" x14ac:dyDescent="0.3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</row>
    <row r="124" spans="1:23" ht="15.6" x14ac:dyDescent="0.3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</row>
    <row r="125" spans="1:23" ht="15.6" x14ac:dyDescent="0.3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</row>
    <row r="126" spans="1:23" ht="15.6" x14ac:dyDescent="0.3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</row>
    <row r="127" spans="1:23" ht="15.6" x14ac:dyDescent="0.3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</row>
    <row r="128" spans="1:23" ht="15.6" x14ac:dyDescent="0.3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</row>
    <row r="129" spans="1:23" ht="15.6" x14ac:dyDescent="0.3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0" spans="1:23" ht="15.6" x14ac:dyDescent="0.3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</row>
    <row r="131" spans="1:23" ht="15.6" x14ac:dyDescent="0.3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</row>
    <row r="132" spans="1:23" ht="15.6" x14ac:dyDescent="0.3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</row>
    <row r="133" spans="1:23" ht="15.6" x14ac:dyDescent="0.3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</row>
    <row r="134" spans="1:23" ht="15.6" x14ac:dyDescent="0.3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</row>
    <row r="135" spans="1:23" ht="15.6" x14ac:dyDescent="0.3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</row>
    <row r="136" spans="1:23" ht="15.6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</row>
    <row r="137" spans="1:23" ht="15.6" x14ac:dyDescent="0.3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</row>
    <row r="138" spans="1:23" ht="15.6" x14ac:dyDescent="0.3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</row>
    <row r="139" spans="1:23" ht="15.6" x14ac:dyDescent="0.3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</row>
    <row r="140" spans="1:23" ht="15.6" x14ac:dyDescent="0.3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</row>
    <row r="141" spans="1:23" ht="15.6" x14ac:dyDescent="0.3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</row>
    <row r="142" spans="1:23" ht="15.6" x14ac:dyDescent="0.3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</row>
    <row r="143" spans="1:23" ht="15.6" x14ac:dyDescent="0.3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</row>
    <row r="144" spans="1:23" ht="15.6" x14ac:dyDescent="0.3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</row>
    <row r="145" spans="1:23" ht="15.6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</row>
    <row r="146" spans="1:23" ht="15.6" x14ac:dyDescent="0.3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</row>
    <row r="147" spans="1:23" ht="15.6" x14ac:dyDescent="0.3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R147" s="3"/>
      <c r="S147" s="3"/>
      <c r="T147" s="3"/>
      <c r="U147" s="3"/>
      <c r="V147" s="3"/>
      <c r="W147" s="3"/>
    </row>
    <row r="148" spans="1:23" ht="15.6" x14ac:dyDescent="0.35">
      <c r="A148" s="3"/>
      <c r="B148" s="3"/>
      <c r="C148" s="3"/>
      <c r="D148" s="3"/>
      <c r="E148" s="3"/>
      <c r="F148" s="3"/>
      <c r="G148" s="3"/>
      <c r="H148" s="3"/>
      <c r="I148" s="3"/>
      <c r="J148" s="3"/>
      <c r="N148" s="3"/>
      <c r="O148" s="3"/>
      <c r="P148" s="3"/>
      <c r="S148" s="3"/>
      <c r="T148" s="3"/>
      <c r="U148" s="3"/>
      <c r="V148" s="3"/>
      <c r="W148" s="3"/>
    </row>
    <row r="149" spans="1:23" ht="15.6" x14ac:dyDescent="0.35">
      <c r="A149" s="3"/>
      <c r="B149" s="3"/>
      <c r="C149" s="3"/>
      <c r="D149" s="3"/>
      <c r="E149" s="3"/>
      <c r="G149" s="3"/>
      <c r="H149" s="3"/>
      <c r="N149" s="3"/>
      <c r="O149" s="3"/>
    </row>
    <row r="150" spans="1:23" ht="15.6" x14ac:dyDescent="0.35">
      <c r="A150" s="3"/>
      <c r="B150" s="3"/>
      <c r="C150" s="3"/>
      <c r="D150" s="3"/>
      <c r="E150" s="3"/>
      <c r="G150" s="3"/>
      <c r="H150" s="3"/>
      <c r="N150" s="3"/>
      <c r="O150" s="3"/>
    </row>
    <row r="151" spans="1:23" ht="15.6" x14ac:dyDescent="0.35">
      <c r="A151" s="3"/>
      <c r="B151" s="3"/>
      <c r="C151" s="3"/>
      <c r="D151" s="3"/>
      <c r="E151" s="3"/>
      <c r="G151" s="3"/>
      <c r="H151" s="3"/>
      <c r="N151" s="3"/>
      <c r="O151" s="3"/>
    </row>
    <row r="152" spans="1:23" ht="15.6" x14ac:dyDescent="0.35">
      <c r="A152" s="3"/>
      <c r="B152" s="3"/>
      <c r="C152" s="3"/>
      <c r="E152" s="3"/>
      <c r="G152" s="3"/>
      <c r="N152" s="3"/>
      <c r="O152" s="3"/>
    </row>
    <row r="153" spans="1:23" ht="15.6" x14ac:dyDescent="0.35">
      <c r="A153" s="3"/>
      <c r="B153" s="3"/>
      <c r="C153" s="3"/>
      <c r="N153" s="3"/>
      <c r="O153" s="3"/>
    </row>
    <row r="154" spans="1:23" ht="15.6" x14ac:dyDescent="0.35">
      <c r="A154" s="3"/>
      <c r="B154" s="3"/>
      <c r="C154" s="3"/>
      <c r="N154" s="3"/>
      <c r="O154" s="3"/>
    </row>
    <row r="155" spans="1:23" ht="15.6" x14ac:dyDescent="0.35">
      <c r="A155" s="3"/>
      <c r="B155" s="3"/>
      <c r="C155" s="3"/>
      <c r="N155" s="3"/>
      <c r="O155" s="3"/>
    </row>
    <row r="156" spans="1:23" ht="15.6" x14ac:dyDescent="0.35">
      <c r="A156" s="3"/>
      <c r="B156" s="3"/>
      <c r="C156" s="3"/>
      <c r="N156" s="3"/>
      <c r="O156" s="3"/>
    </row>
    <row r="157" spans="1:23" ht="15.6" x14ac:dyDescent="0.35">
      <c r="A157" s="3"/>
      <c r="B157" s="3"/>
      <c r="C157" s="3"/>
      <c r="N157" s="3"/>
      <c r="O157" s="3"/>
    </row>
    <row r="158" spans="1:23" ht="15.6" x14ac:dyDescent="0.35">
      <c r="A158" s="3"/>
      <c r="B158" s="3"/>
      <c r="C158" s="3"/>
      <c r="O158" s="3"/>
    </row>
    <row r="159" spans="1:23" ht="15.6" x14ac:dyDescent="0.35">
      <c r="A159" s="3"/>
      <c r="B159" s="3"/>
      <c r="C159" s="3"/>
    </row>
    <row r="160" spans="1:23" ht="15.6" x14ac:dyDescent="0.35">
      <c r="A160" s="3"/>
      <c r="B160" s="3"/>
      <c r="C160" s="3"/>
    </row>
    <row r="161" spans="1:3" ht="15.6" x14ac:dyDescent="0.35">
      <c r="A161" s="3"/>
      <c r="B161" s="3"/>
      <c r="C161" s="3"/>
    </row>
    <row r="162" spans="1:3" ht="15.6" x14ac:dyDescent="0.35">
      <c r="A162" s="3"/>
      <c r="B162" s="3"/>
      <c r="C162" s="3"/>
    </row>
    <row r="163" spans="1:3" ht="15.6" x14ac:dyDescent="0.35">
      <c r="A163" s="3"/>
      <c r="B163" s="3"/>
      <c r="C163" s="3"/>
    </row>
    <row r="164" spans="1:3" ht="15.6" x14ac:dyDescent="0.35">
      <c r="A164" s="3"/>
      <c r="B164" s="3"/>
      <c r="C164" s="3"/>
    </row>
    <row r="165" spans="1:3" ht="15.6" x14ac:dyDescent="0.35">
      <c r="A165" s="3"/>
      <c r="B165" s="3"/>
      <c r="C165" s="3"/>
    </row>
    <row r="166" spans="1:3" ht="15.6" x14ac:dyDescent="0.35">
      <c r="A166" s="3"/>
      <c r="B166" s="3"/>
      <c r="C166" s="3"/>
    </row>
    <row r="167" spans="1:3" ht="15.6" x14ac:dyDescent="0.35">
      <c r="A167" s="3"/>
      <c r="B167" s="3"/>
      <c r="C167" s="3"/>
    </row>
    <row r="168" spans="1:3" ht="15.6" x14ac:dyDescent="0.35">
      <c r="A168" s="3"/>
      <c r="B168" s="3"/>
      <c r="C168" s="3"/>
    </row>
    <row r="169" spans="1:3" ht="15.6" x14ac:dyDescent="0.35">
      <c r="A169" s="3"/>
      <c r="B169" s="3"/>
      <c r="C169" s="3"/>
    </row>
    <row r="170" spans="1:3" ht="15.6" x14ac:dyDescent="0.35">
      <c r="A170" s="3"/>
      <c r="B170" s="3"/>
      <c r="C170" s="3"/>
    </row>
    <row r="171" spans="1:3" ht="15.6" x14ac:dyDescent="0.35">
      <c r="A171" s="3"/>
      <c r="B171" s="3"/>
      <c r="C171" s="3"/>
    </row>
    <row r="172" spans="1:3" ht="15.6" x14ac:dyDescent="0.35">
      <c r="A172" s="3"/>
      <c r="B172" s="3"/>
      <c r="C172" s="3"/>
    </row>
    <row r="173" spans="1:3" ht="15.6" x14ac:dyDescent="0.35">
      <c r="A173" s="3"/>
      <c r="B173" s="3"/>
      <c r="C173" s="3"/>
    </row>
    <row r="174" spans="1:3" ht="15.6" x14ac:dyDescent="0.35">
      <c r="A174" s="3"/>
      <c r="B174" s="3"/>
      <c r="C174" s="3"/>
    </row>
    <row r="175" spans="1:3" ht="15.6" x14ac:dyDescent="0.35">
      <c r="A175" s="3"/>
      <c r="B175" s="3"/>
      <c r="C175" s="3"/>
    </row>
    <row r="176" spans="1:3" ht="15.6" x14ac:dyDescent="0.35">
      <c r="A176" s="3"/>
      <c r="B176" s="3"/>
      <c r="C176" s="3"/>
    </row>
    <row r="177" spans="1:3" ht="15.6" x14ac:dyDescent="0.35">
      <c r="A177" s="3"/>
      <c r="B177" s="3"/>
      <c r="C177" s="3"/>
    </row>
    <row r="178" spans="1:3" ht="15.6" x14ac:dyDescent="0.35">
      <c r="A178" s="3"/>
      <c r="B178" s="3"/>
      <c r="C178" s="3"/>
    </row>
    <row r="179" spans="1:3" ht="15.6" x14ac:dyDescent="0.35">
      <c r="A179" s="3"/>
      <c r="B179" s="3"/>
      <c r="C179" s="3"/>
    </row>
    <row r="180" spans="1:3" ht="15.6" x14ac:dyDescent="0.35">
      <c r="A180" s="3"/>
      <c r="B180" s="3"/>
      <c r="C180" s="3"/>
    </row>
    <row r="181" spans="1:3" ht="15.6" x14ac:dyDescent="0.35">
      <c r="A181" s="3"/>
      <c r="B181" s="3"/>
      <c r="C181" s="3"/>
    </row>
    <row r="182" spans="1:3" ht="15.6" x14ac:dyDescent="0.35">
      <c r="A182" s="3"/>
      <c r="B182" s="3"/>
      <c r="C182" s="3"/>
    </row>
    <row r="183" spans="1:3" ht="15.6" x14ac:dyDescent="0.35">
      <c r="A183" s="3"/>
      <c r="B183" s="3"/>
      <c r="C183" s="3"/>
    </row>
    <row r="184" spans="1:3" ht="15.6" x14ac:dyDescent="0.35">
      <c r="A184" s="3"/>
      <c r="B184" s="3"/>
      <c r="C184" s="3"/>
    </row>
    <row r="185" spans="1:3" ht="15.6" x14ac:dyDescent="0.35">
      <c r="A185" s="3"/>
      <c r="B185" s="3"/>
      <c r="C185" s="3"/>
    </row>
    <row r="186" spans="1:3" ht="15.6" x14ac:dyDescent="0.35">
      <c r="A186" s="3"/>
      <c r="B186" s="3"/>
      <c r="C186" s="3"/>
    </row>
    <row r="187" spans="1:3" ht="15.6" x14ac:dyDescent="0.35">
      <c r="A187" s="3"/>
      <c r="B187" s="3"/>
      <c r="C187" s="3"/>
    </row>
    <row r="188" spans="1:3" ht="15.6" x14ac:dyDescent="0.35">
      <c r="A188" s="3"/>
      <c r="B188" s="3"/>
      <c r="C188" s="3"/>
    </row>
    <row r="189" spans="1:3" ht="15.6" x14ac:dyDescent="0.35">
      <c r="A189" s="3"/>
      <c r="B189" s="3"/>
      <c r="C189" s="3"/>
    </row>
    <row r="190" spans="1:3" ht="15.6" x14ac:dyDescent="0.35">
      <c r="A190" s="3"/>
      <c r="B190" s="3"/>
      <c r="C190" s="3"/>
    </row>
    <row r="191" spans="1:3" ht="15.6" x14ac:dyDescent="0.35">
      <c r="A191" s="3"/>
      <c r="B191" s="3"/>
      <c r="C191" s="3"/>
    </row>
    <row r="192" spans="1:3" ht="15.6" x14ac:dyDescent="0.35">
      <c r="A192" s="3"/>
      <c r="B192" s="3"/>
      <c r="C192" s="3"/>
    </row>
    <row r="193" spans="1:3" ht="15.6" x14ac:dyDescent="0.35">
      <c r="A193" s="3"/>
      <c r="B193" s="3"/>
      <c r="C193" s="3"/>
    </row>
    <row r="194" spans="1:3" ht="15.6" x14ac:dyDescent="0.35">
      <c r="A194" s="3"/>
      <c r="B194" s="3"/>
      <c r="C194" s="3"/>
    </row>
    <row r="195" spans="1:3" ht="15.6" x14ac:dyDescent="0.35">
      <c r="A195" s="3"/>
      <c r="B195" s="3"/>
      <c r="C195" s="3"/>
    </row>
    <row r="196" spans="1:3" ht="15.6" x14ac:dyDescent="0.35">
      <c r="A196" s="3"/>
      <c r="B196" s="3"/>
      <c r="C196" s="3"/>
    </row>
    <row r="197" spans="1:3" ht="15.6" x14ac:dyDescent="0.35">
      <c r="A197" s="3"/>
      <c r="B197" s="3"/>
      <c r="C197" s="3"/>
    </row>
    <row r="198" spans="1:3" ht="15.6" x14ac:dyDescent="0.35">
      <c r="A198" s="3"/>
      <c r="B198" s="3"/>
      <c r="C198" s="3"/>
    </row>
    <row r="199" spans="1:3" ht="15.6" x14ac:dyDescent="0.35">
      <c r="A199" s="3"/>
      <c r="B199" s="3"/>
      <c r="C199" s="3"/>
    </row>
    <row r="200" spans="1:3" ht="15.6" x14ac:dyDescent="0.35">
      <c r="A200" s="3"/>
      <c r="B200" s="3"/>
      <c r="C200" s="3"/>
    </row>
    <row r="201" spans="1:3" ht="15.6" x14ac:dyDescent="0.35">
      <c r="A201" s="3"/>
      <c r="B201" s="3"/>
      <c r="C201" s="3"/>
    </row>
    <row r="202" spans="1:3" ht="15.6" x14ac:dyDescent="0.35">
      <c r="A202" s="3"/>
      <c r="B202" s="3"/>
      <c r="C202" s="3"/>
    </row>
    <row r="203" spans="1:3" ht="15.6" x14ac:dyDescent="0.35">
      <c r="A203" s="3"/>
      <c r="B203" s="3"/>
      <c r="C203" s="3"/>
    </row>
    <row r="204" spans="1:3" ht="15.6" x14ac:dyDescent="0.35">
      <c r="A204" s="3"/>
      <c r="B204" s="3"/>
      <c r="C204" s="3"/>
    </row>
    <row r="205" spans="1:3" ht="15.6" x14ac:dyDescent="0.35">
      <c r="A205" s="3"/>
      <c r="B205" s="3"/>
      <c r="C205" s="3"/>
    </row>
    <row r="206" spans="1:3" ht="15.6" x14ac:dyDescent="0.35">
      <c r="A206" s="3"/>
      <c r="B206" s="3"/>
      <c r="C206" s="3"/>
    </row>
    <row r="207" spans="1:3" ht="15.6" x14ac:dyDescent="0.35">
      <c r="A207" s="3"/>
      <c r="B207" s="3"/>
      <c r="C207" s="3"/>
    </row>
    <row r="208" spans="1:3" ht="15.6" x14ac:dyDescent="0.35">
      <c r="A208" s="3"/>
      <c r="B208" s="3"/>
      <c r="C208" s="3"/>
    </row>
    <row r="209" spans="1:3" ht="15.6" x14ac:dyDescent="0.35">
      <c r="A209" s="3"/>
      <c r="B209" s="3"/>
      <c r="C209" s="3"/>
    </row>
    <row r="210" spans="1:3" ht="15.6" x14ac:dyDescent="0.35">
      <c r="A210" s="3"/>
      <c r="B210" s="3"/>
      <c r="C210" s="3"/>
    </row>
    <row r="211" spans="1:3" ht="15.6" x14ac:dyDescent="0.35">
      <c r="A211" s="3"/>
      <c r="B211" s="3"/>
      <c r="C211" s="3"/>
    </row>
    <row r="212" spans="1:3" ht="15.6" x14ac:dyDescent="0.35">
      <c r="A212" s="3"/>
      <c r="B212" s="3"/>
      <c r="C212" s="3"/>
    </row>
    <row r="213" spans="1:3" ht="15.6" x14ac:dyDescent="0.35">
      <c r="A213" s="3"/>
      <c r="B213" s="3"/>
      <c r="C213" s="3"/>
    </row>
    <row r="214" spans="1:3" ht="15.6" x14ac:dyDescent="0.35">
      <c r="A214" s="3"/>
      <c r="B214" s="3"/>
      <c r="C214" s="3"/>
    </row>
    <row r="215" spans="1:3" ht="15.6" x14ac:dyDescent="0.35">
      <c r="A215" s="3"/>
      <c r="B215" s="3"/>
      <c r="C215" s="3"/>
    </row>
    <row r="216" spans="1:3" ht="15.6" x14ac:dyDescent="0.35">
      <c r="A216" s="3"/>
      <c r="B216" s="3"/>
      <c r="C216" s="3"/>
    </row>
    <row r="217" spans="1:3" ht="15.6" x14ac:dyDescent="0.35">
      <c r="A217" s="3"/>
      <c r="B217" s="3"/>
      <c r="C217" s="3"/>
    </row>
    <row r="218" spans="1:3" ht="15.6" x14ac:dyDescent="0.35">
      <c r="A218" s="3"/>
      <c r="B218" s="3"/>
      <c r="C218" s="3"/>
    </row>
    <row r="219" spans="1:3" ht="15.6" x14ac:dyDescent="0.35">
      <c r="A219" s="3"/>
      <c r="B219" s="3"/>
      <c r="C219" s="3"/>
    </row>
    <row r="220" spans="1:3" ht="15.6" x14ac:dyDescent="0.35">
      <c r="A220" s="3"/>
      <c r="B220" s="3"/>
      <c r="C220" s="3"/>
    </row>
    <row r="221" spans="1:3" ht="15.6" x14ac:dyDescent="0.35">
      <c r="A221" s="3"/>
      <c r="B221" s="3"/>
      <c r="C221" s="3"/>
    </row>
    <row r="222" spans="1:3" ht="15.6" x14ac:dyDescent="0.35">
      <c r="A222" s="3"/>
      <c r="B222" s="3"/>
      <c r="C222" s="3"/>
    </row>
    <row r="223" spans="1:3" ht="15.6" x14ac:dyDescent="0.35">
      <c r="A223" s="3"/>
      <c r="B223" s="3"/>
      <c r="C223" s="3"/>
    </row>
    <row r="224" spans="1:3" ht="15.6" x14ac:dyDescent="0.35">
      <c r="A224" s="3"/>
      <c r="B224" s="3"/>
      <c r="C224" s="3"/>
    </row>
    <row r="225" spans="1:3" ht="15.6" x14ac:dyDescent="0.35">
      <c r="A225" s="3"/>
      <c r="B225" s="3"/>
      <c r="C225" s="3"/>
    </row>
    <row r="226" spans="1:3" ht="15.6" x14ac:dyDescent="0.35">
      <c r="A226" s="3"/>
      <c r="B226" s="3"/>
      <c r="C226" s="3"/>
    </row>
    <row r="227" spans="1:3" ht="15.6" x14ac:dyDescent="0.35">
      <c r="A227" s="3"/>
      <c r="B227" s="3"/>
      <c r="C227" s="3"/>
    </row>
    <row r="228" spans="1:3" ht="15.6" x14ac:dyDescent="0.35">
      <c r="A228" s="3"/>
      <c r="B228" s="3"/>
      <c r="C228" s="3"/>
    </row>
    <row r="229" spans="1:3" ht="15.6" x14ac:dyDescent="0.35">
      <c r="A229" s="3"/>
      <c r="B229" s="3"/>
      <c r="C229" s="3"/>
    </row>
    <row r="230" spans="1:3" ht="15.6" x14ac:dyDescent="0.35">
      <c r="A230" s="3"/>
      <c r="B230" s="3"/>
      <c r="C230" s="3"/>
    </row>
    <row r="231" spans="1:3" ht="15.6" x14ac:dyDescent="0.35">
      <c r="A231" s="3"/>
      <c r="B231" s="3"/>
      <c r="C231" s="3"/>
    </row>
    <row r="232" spans="1:3" ht="15.6" x14ac:dyDescent="0.35">
      <c r="A232" s="3"/>
      <c r="B232" s="3"/>
      <c r="C232" s="3"/>
    </row>
    <row r="233" spans="1:3" ht="15.6" x14ac:dyDescent="0.35">
      <c r="A233" s="3"/>
      <c r="B233" s="3"/>
      <c r="C233" s="3"/>
    </row>
    <row r="234" spans="1:3" ht="15.6" x14ac:dyDescent="0.35">
      <c r="A234" s="3"/>
      <c r="B234" s="3"/>
      <c r="C234" s="3"/>
    </row>
    <row r="235" spans="1:3" ht="15.6" x14ac:dyDescent="0.35">
      <c r="A235" s="3"/>
      <c r="B235" s="3"/>
      <c r="C235" s="3"/>
    </row>
    <row r="236" spans="1:3" ht="15.6" x14ac:dyDescent="0.35">
      <c r="A236" s="3"/>
      <c r="B236" s="3"/>
      <c r="C236" s="3"/>
    </row>
    <row r="237" spans="1:3" ht="15.6" x14ac:dyDescent="0.35">
      <c r="A237" s="3"/>
      <c r="B237" s="3"/>
      <c r="C237" s="3"/>
    </row>
    <row r="238" spans="1:3" ht="15.6" x14ac:dyDescent="0.35">
      <c r="A238" s="3"/>
      <c r="B238" s="3"/>
      <c r="C238" s="3"/>
    </row>
    <row r="239" spans="1:3" ht="15.6" x14ac:dyDescent="0.35">
      <c r="A239" s="3"/>
      <c r="B239" s="3"/>
      <c r="C239" s="3"/>
    </row>
    <row r="240" spans="1:3" ht="15.6" x14ac:dyDescent="0.35">
      <c r="A240" s="3"/>
      <c r="B240" s="3"/>
      <c r="C240" s="3"/>
    </row>
    <row r="241" spans="1:3" ht="15.6" x14ac:dyDescent="0.35">
      <c r="A241" s="3"/>
      <c r="B241" s="3"/>
      <c r="C241" s="3"/>
    </row>
    <row r="242" spans="1:3" ht="15.6" x14ac:dyDescent="0.35">
      <c r="A242" s="3"/>
      <c r="B242" s="3"/>
      <c r="C242" s="3"/>
    </row>
    <row r="243" spans="1:3" ht="15.6" x14ac:dyDescent="0.35">
      <c r="A243" s="3"/>
      <c r="B243" s="3"/>
      <c r="C243" s="3"/>
    </row>
    <row r="244" spans="1:3" ht="15.6" x14ac:dyDescent="0.35">
      <c r="A244" s="3"/>
      <c r="B244" s="3"/>
      <c r="C244" s="3"/>
    </row>
    <row r="245" spans="1:3" ht="15.6" x14ac:dyDescent="0.35">
      <c r="A245" s="3"/>
      <c r="B245" s="3"/>
      <c r="C245" s="3"/>
    </row>
    <row r="246" spans="1:3" ht="15.6" x14ac:dyDescent="0.35">
      <c r="A246" s="3"/>
      <c r="B246" s="3"/>
      <c r="C246" s="3"/>
    </row>
    <row r="247" spans="1:3" ht="15.6" x14ac:dyDescent="0.35">
      <c r="A247" s="3"/>
      <c r="B247" s="3"/>
      <c r="C247" s="3"/>
    </row>
    <row r="248" spans="1:3" ht="15.6" x14ac:dyDescent="0.35">
      <c r="A248" s="3"/>
      <c r="B248" s="3"/>
      <c r="C248" s="3"/>
    </row>
    <row r="249" spans="1:3" ht="15.6" x14ac:dyDescent="0.35">
      <c r="A249" s="3"/>
      <c r="B249" s="3"/>
      <c r="C249" s="3"/>
    </row>
    <row r="250" spans="1:3" ht="15.6" x14ac:dyDescent="0.35">
      <c r="A250" s="3"/>
      <c r="B250" s="3"/>
      <c r="C250" s="3"/>
    </row>
    <row r="251" spans="1:3" ht="15.6" x14ac:dyDescent="0.35">
      <c r="A251" s="3"/>
      <c r="B251" s="3"/>
      <c r="C251" s="3"/>
    </row>
    <row r="252" spans="1:3" ht="15.6" x14ac:dyDescent="0.35">
      <c r="A252" s="3"/>
      <c r="B252" s="3"/>
      <c r="C252" s="3"/>
    </row>
    <row r="253" spans="1:3" ht="15.6" x14ac:dyDescent="0.35">
      <c r="A253" s="3"/>
      <c r="B253" s="3"/>
      <c r="C253" s="3"/>
    </row>
    <row r="254" spans="1:3" ht="15.6" x14ac:dyDescent="0.35">
      <c r="A254" s="3"/>
      <c r="B254" s="3"/>
      <c r="C254" s="3"/>
    </row>
    <row r="255" spans="1:3" ht="15.6" x14ac:dyDescent="0.35">
      <c r="A255" s="3"/>
      <c r="B255" s="3"/>
      <c r="C255" s="3"/>
    </row>
    <row r="256" spans="1:3" ht="15.6" x14ac:dyDescent="0.35">
      <c r="A256" s="3"/>
      <c r="B256" s="3"/>
      <c r="C256" s="3"/>
    </row>
    <row r="257" spans="1:3" ht="15.6" x14ac:dyDescent="0.35">
      <c r="A257" s="3"/>
      <c r="B257" s="3"/>
      <c r="C257" s="3"/>
    </row>
    <row r="258" spans="1:3" ht="15.6" x14ac:dyDescent="0.35">
      <c r="A258" s="3"/>
      <c r="B258" s="3"/>
      <c r="C258" s="3"/>
    </row>
    <row r="259" spans="1:3" ht="15.6" x14ac:dyDescent="0.35">
      <c r="A259" s="3"/>
      <c r="B259" s="3"/>
      <c r="C259" s="3"/>
    </row>
    <row r="260" spans="1:3" ht="15.6" x14ac:dyDescent="0.35">
      <c r="A260" s="3"/>
      <c r="B260" s="3"/>
      <c r="C260" s="3"/>
    </row>
    <row r="261" spans="1:3" ht="15.6" x14ac:dyDescent="0.35">
      <c r="A261" s="3"/>
      <c r="B261" s="3"/>
      <c r="C261" s="3"/>
    </row>
    <row r="262" spans="1:3" ht="15.6" x14ac:dyDescent="0.35">
      <c r="A262" s="3"/>
      <c r="B262" s="3"/>
      <c r="C262" s="3"/>
    </row>
    <row r="263" spans="1:3" ht="15.6" x14ac:dyDescent="0.35">
      <c r="A263" s="3"/>
      <c r="B263" s="3"/>
      <c r="C263" s="3"/>
    </row>
    <row r="264" spans="1:3" ht="15.6" x14ac:dyDescent="0.35">
      <c r="A264" s="3"/>
      <c r="B264" s="3"/>
      <c r="C264" s="3"/>
    </row>
    <row r="265" spans="1:3" ht="15.6" x14ac:dyDescent="0.35">
      <c r="A265" s="3"/>
      <c r="B265" s="3"/>
      <c r="C265" s="3"/>
    </row>
    <row r="266" spans="1:3" ht="15.6" x14ac:dyDescent="0.35">
      <c r="A266" s="3"/>
      <c r="B266" s="3"/>
      <c r="C266" s="3"/>
    </row>
    <row r="267" spans="1:3" ht="15.6" x14ac:dyDescent="0.35">
      <c r="A267" s="3"/>
      <c r="B267" s="3"/>
      <c r="C267" s="3"/>
    </row>
    <row r="268" spans="1:3" ht="15.6" x14ac:dyDescent="0.35">
      <c r="A268" s="3"/>
      <c r="B268" s="3"/>
      <c r="C268" s="3"/>
    </row>
    <row r="269" spans="1:3" ht="15.6" x14ac:dyDescent="0.35">
      <c r="A269" s="3"/>
      <c r="B269" s="3"/>
    </row>
    <row r="270" spans="1:3" ht="15.6" x14ac:dyDescent="0.35">
      <c r="A270" s="3"/>
      <c r="B270" s="3"/>
    </row>
    <row r="271" spans="1:3" ht="15.6" x14ac:dyDescent="0.35">
      <c r="A271" s="3"/>
      <c r="B271" s="3"/>
    </row>
    <row r="272" spans="1:3" ht="15.6" x14ac:dyDescent="0.35">
      <c r="A272" s="3"/>
      <c r="B272" s="3"/>
    </row>
    <row r="273" spans="1:2" ht="15.6" x14ac:dyDescent="0.35">
      <c r="A273" s="3"/>
      <c r="B273" s="3"/>
    </row>
    <row r="274" spans="1:2" ht="15.6" x14ac:dyDescent="0.35">
      <c r="A274" s="3"/>
      <c r="B274" s="3"/>
    </row>
    <row r="275" spans="1:2" ht="15.6" x14ac:dyDescent="0.35">
      <c r="A275" s="3"/>
      <c r="B275" s="3"/>
    </row>
    <row r="276" spans="1:2" ht="15.6" x14ac:dyDescent="0.35">
      <c r="A276" s="3"/>
    </row>
    <row r="277" spans="1:2" ht="15.6" x14ac:dyDescent="0.35">
      <c r="A277" s="3"/>
    </row>
    <row r="278" spans="1:2" ht="15.6" x14ac:dyDescent="0.35">
      <c r="A278" s="3"/>
    </row>
  </sheetData>
  <scenarios current="0">
    <scenario name="指定总条数计算最高期望伤害下的副词条分配" count="10" user="Yurine Hanazono" comment="创建者 Yurine Hanazono 日期 6/21/2021">
      <inputCells r="P2" val="0"/>
      <inputCells r="P3" val="0"/>
      <inputCells r="P4" val="0"/>
      <inputCells r="P5" val="9.1420998821771"/>
      <inputCells r="P7" val="0"/>
      <inputCells r="P8" val="0"/>
      <inputCells r="P9" val="0"/>
      <inputCells r="P10" val="7.69410168845595"/>
      <inputCells r="P11" val="9.16379842936695"/>
      <inputCells r="P6" undone="1" val="0"/>
    </scenario>
  </scenarios>
  <dataConsolidate function="stdDevp"/>
  <mergeCells count="7">
    <mergeCell ref="N25:N26"/>
    <mergeCell ref="O25:P26"/>
    <mergeCell ref="R23:S23"/>
    <mergeCell ref="O21:P22"/>
    <mergeCell ref="N21:N22"/>
    <mergeCell ref="O23:P24"/>
    <mergeCell ref="N23:N24"/>
  </mergeCells>
  <phoneticPr fontId="1" type="noConversion"/>
  <dataValidations count="2">
    <dataValidation type="whole" operator="greaterThanOrEqual" allowBlank="1" showInputMessage="1" showErrorMessage="1" sqref="H22" xr:uid="{FC5F96C2-AA17-4F5B-99A5-8FB11E877A28}">
      <formula1>1</formula1>
    </dataValidation>
    <dataValidation operator="greaterThanOrEqual" allowBlank="1" showInputMessage="1" showErrorMessage="1" sqref="H23" xr:uid="{48FD97A4-AA5B-484E-A6F6-A6E5FDFAD31D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7" r:id="rId4" name="Button 25">
              <controlPr defaultSize="0" print="0" autoFill="0" autoPict="0" macro="[0]!副词条动态规划.副词条动态规划">
                <anchor moveWithCells="1" sizeWithCells="1">
                  <from>
                    <xdr:col>15</xdr:col>
                    <xdr:colOff>0</xdr:colOff>
                    <xdr:row>11</xdr:row>
                    <xdr:rowOff>190500</xdr:rowOff>
                  </from>
                  <to>
                    <xdr:col>17</xdr:col>
                    <xdr:colOff>7620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F0750AC-5766-4BFD-985A-228649428BBC}">
          <x14:formula1>
            <xm:f>圣遗物属性!$B$4:$B$8</xm:f>
          </x14:formula1>
          <xm:sqref>K4</xm:sqref>
        </x14:dataValidation>
        <x14:dataValidation type="list" allowBlank="1" showInputMessage="1" showErrorMessage="1" xr:uid="{AEE7C2A3-D5CF-4287-B78D-891904ED68C2}">
          <x14:formula1>
            <xm:f>圣遗物属性!$B$9:$B$15</xm:f>
          </x14:formula1>
          <xm:sqref>K5</xm:sqref>
        </x14:dataValidation>
        <x14:dataValidation type="list" allowBlank="1" showInputMessage="1" showErrorMessage="1" xr:uid="{44D4D8C0-3F4E-4FFE-9C73-74F10607E8F5}">
          <x14:formula1>
            <xm:f>圣遗物属性!$B$16:$B$22</xm:f>
          </x14:formula1>
          <xm:sqref>K6</xm:sqref>
        </x14:dataValidation>
        <x14:dataValidation type="list" allowBlank="1" showInputMessage="1" showErrorMessage="1" xr:uid="{92B47F1D-429F-40B2-8E0C-44981150E82B}">
          <x14:formula1>
            <xm:f>圣遗物属性!$O$2:$O$7</xm:f>
          </x14:formula1>
          <xm:sqref>T1</xm:sqref>
        </x14:dataValidation>
        <x14:dataValidation type="list" allowBlank="1" showInputMessage="1" showErrorMessage="1" xr:uid="{92DEE0BE-8183-4791-B7ED-9C09E14DEE5C}">
          <x14:formula1>
            <xm:f>角色!$A$2:$A$50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B67E7-A015-414F-865B-83C340B772CE}">
  <sheetPr codeName="Sheet15"/>
  <dimension ref="A1:V152"/>
  <sheetViews>
    <sheetView workbookViewId="0">
      <selection activeCell="J26" sqref="J26"/>
    </sheetView>
  </sheetViews>
  <sheetFormatPr defaultRowHeight="13.8" x14ac:dyDescent="0.25"/>
  <cols>
    <col min="1" max="1" width="11.33203125" customWidth="1"/>
    <col min="2" max="2" width="14.6640625" customWidth="1"/>
    <col min="5" max="5" width="11.109375" customWidth="1"/>
    <col min="6" max="6" width="8.88671875" customWidth="1"/>
    <col min="7" max="7" width="9.88671875" customWidth="1"/>
    <col min="9" max="9" width="11.109375" customWidth="1"/>
    <col min="15" max="15" width="12.5546875" customWidth="1"/>
    <col min="16" max="16" width="9.77734375" customWidth="1"/>
    <col min="17" max="17" width="11.77734375" customWidth="1"/>
  </cols>
  <sheetData>
    <row r="1" spans="1:21" ht="15.6" x14ac:dyDescent="0.35">
      <c r="A1" s="3" t="s">
        <v>586</v>
      </c>
      <c r="B1" s="3" t="s">
        <v>602</v>
      </c>
      <c r="C1" s="3"/>
      <c r="D1" s="3"/>
      <c r="E1" s="3" t="s">
        <v>583</v>
      </c>
      <c r="F1" s="3" t="s">
        <v>587</v>
      </c>
      <c r="G1" s="3"/>
      <c r="H1" s="3"/>
      <c r="I1" s="3" t="s">
        <v>598</v>
      </c>
      <c r="J1" s="3" t="s">
        <v>599</v>
      </c>
      <c r="K1" s="3" t="s">
        <v>600</v>
      </c>
      <c r="L1" s="3" t="s">
        <v>601</v>
      </c>
      <c r="M1" s="3"/>
      <c r="N1" s="3"/>
      <c r="O1" s="3" t="s">
        <v>614</v>
      </c>
      <c r="P1" s="3" t="s">
        <v>587</v>
      </c>
      <c r="Q1" s="3"/>
      <c r="R1" s="3"/>
      <c r="S1" t="s">
        <v>368</v>
      </c>
      <c r="T1" s="3"/>
      <c r="U1" s="3"/>
    </row>
    <row r="2" spans="1:21" ht="15.6" x14ac:dyDescent="0.35">
      <c r="A2" s="3" t="s">
        <v>585</v>
      </c>
      <c r="B2" s="3" t="s">
        <v>584</v>
      </c>
      <c r="C2" s="3"/>
      <c r="D2" s="3"/>
      <c r="E2" s="3" t="s">
        <v>584</v>
      </c>
      <c r="F2" s="3">
        <v>4780</v>
      </c>
      <c r="G2" s="3"/>
      <c r="H2" s="3"/>
      <c r="I2" s="3" t="s">
        <v>584</v>
      </c>
      <c r="J2" s="3">
        <f t="shared" ref="J2:J11" si="0">AVERAGE(K2,L2)</f>
        <v>254</v>
      </c>
      <c r="K2" s="3">
        <v>209</v>
      </c>
      <c r="L2" s="3">
        <v>299</v>
      </c>
      <c r="M2" s="3"/>
      <c r="N2" s="3"/>
      <c r="O2" s="3" t="s">
        <v>615</v>
      </c>
      <c r="P2" s="3">
        <v>25</v>
      </c>
      <c r="Q2" s="3" t="s">
        <v>593</v>
      </c>
      <c r="R2" s="3"/>
      <c r="S2" t="s">
        <v>703</v>
      </c>
      <c r="T2" s="3"/>
      <c r="U2" s="3"/>
    </row>
    <row r="3" spans="1:21" ht="15.6" x14ac:dyDescent="0.35">
      <c r="A3" s="3" t="s">
        <v>588</v>
      </c>
      <c r="B3" s="3" t="s">
        <v>150</v>
      </c>
      <c r="C3" s="3"/>
      <c r="D3" s="3"/>
      <c r="E3" s="3" t="s">
        <v>150</v>
      </c>
      <c r="F3" s="3">
        <v>311</v>
      </c>
      <c r="G3" s="3"/>
      <c r="H3" s="3"/>
      <c r="I3" s="3" t="s">
        <v>150</v>
      </c>
      <c r="J3" s="3">
        <f t="shared" si="0"/>
        <v>16.5</v>
      </c>
      <c r="K3" s="3">
        <v>14</v>
      </c>
      <c r="L3" s="3">
        <v>19</v>
      </c>
      <c r="M3" s="3"/>
      <c r="N3" s="3"/>
      <c r="O3" s="3" t="s">
        <v>616</v>
      </c>
      <c r="P3" s="3">
        <v>30</v>
      </c>
      <c r="Q3" s="3" t="s">
        <v>611</v>
      </c>
      <c r="R3" s="3"/>
      <c r="T3" s="3"/>
      <c r="U3" s="3"/>
    </row>
    <row r="4" spans="1:21" ht="15.6" x14ac:dyDescent="0.35">
      <c r="A4" s="3" t="s">
        <v>589</v>
      </c>
      <c r="B4" s="3" t="s">
        <v>593</v>
      </c>
      <c r="C4" s="3"/>
      <c r="D4" s="3"/>
      <c r="E4" s="3" t="s">
        <v>592</v>
      </c>
      <c r="F4" s="3">
        <v>46.6</v>
      </c>
      <c r="G4" s="3"/>
      <c r="H4" s="3"/>
      <c r="I4" s="3" t="s">
        <v>389</v>
      </c>
      <c r="J4" s="3">
        <f t="shared" si="0"/>
        <v>19.5</v>
      </c>
      <c r="K4" s="3">
        <v>16</v>
      </c>
      <c r="L4" s="3">
        <v>23</v>
      </c>
      <c r="M4" s="3"/>
      <c r="N4" s="3"/>
      <c r="O4" s="3" t="s">
        <v>620</v>
      </c>
      <c r="P4" s="3">
        <v>15</v>
      </c>
      <c r="Q4" s="3" t="s">
        <v>609</v>
      </c>
      <c r="R4" s="3"/>
      <c r="T4" s="3"/>
      <c r="U4" s="3"/>
    </row>
    <row r="5" spans="1:21" ht="15.6" x14ac:dyDescent="0.35">
      <c r="A5" s="3" t="s">
        <v>589</v>
      </c>
      <c r="B5" s="3" t="s">
        <v>594</v>
      </c>
      <c r="C5" s="3"/>
      <c r="D5" s="3"/>
      <c r="E5" s="3" t="s">
        <v>594</v>
      </c>
      <c r="F5" s="3">
        <v>46.6</v>
      </c>
      <c r="G5" s="3"/>
      <c r="H5" s="3"/>
      <c r="I5" s="3" t="s">
        <v>592</v>
      </c>
      <c r="J5" s="3">
        <f t="shared" si="0"/>
        <v>4.9499999999999993</v>
      </c>
      <c r="K5" s="3">
        <v>4.0999999999999996</v>
      </c>
      <c r="L5" s="3">
        <v>5.8</v>
      </c>
      <c r="M5" s="3"/>
      <c r="N5" s="3"/>
      <c r="O5" s="3" t="s">
        <v>619</v>
      </c>
      <c r="P5" s="3">
        <v>15</v>
      </c>
      <c r="Q5" s="3" t="s">
        <v>617</v>
      </c>
      <c r="R5" s="3"/>
      <c r="S5" s="3"/>
      <c r="T5" s="3"/>
      <c r="U5" s="3"/>
    </row>
    <row r="6" spans="1:21" ht="15.6" x14ac:dyDescent="0.35">
      <c r="A6" s="3" t="s">
        <v>589</v>
      </c>
      <c r="B6" s="3" t="s">
        <v>596</v>
      </c>
      <c r="C6" s="3"/>
      <c r="D6" s="3"/>
      <c r="E6" s="3" t="s">
        <v>596</v>
      </c>
      <c r="F6" s="3">
        <v>58.3</v>
      </c>
      <c r="G6" s="3"/>
      <c r="H6" s="3"/>
      <c r="I6" s="3" t="s">
        <v>594</v>
      </c>
      <c r="J6" s="3">
        <f t="shared" si="0"/>
        <v>4.9499999999999993</v>
      </c>
      <c r="K6" s="3">
        <v>4.0999999999999996</v>
      </c>
      <c r="L6" s="3">
        <v>5.8</v>
      </c>
      <c r="M6" s="3"/>
      <c r="N6" s="3"/>
      <c r="O6" s="3" t="s">
        <v>619</v>
      </c>
      <c r="P6" s="3">
        <v>20</v>
      </c>
      <c r="Q6" s="3" t="s">
        <v>618</v>
      </c>
      <c r="R6" s="3"/>
      <c r="S6" s="3"/>
      <c r="T6" s="3"/>
      <c r="U6" s="3"/>
    </row>
    <row r="7" spans="1:21" ht="15.6" x14ac:dyDescent="0.35">
      <c r="A7" s="3" t="s">
        <v>589</v>
      </c>
      <c r="B7" s="3" t="s">
        <v>332</v>
      </c>
      <c r="C7" s="3"/>
      <c r="D7" s="3"/>
      <c r="E7" s="3" t="s">
        <v>608</v>
      </c>
      <c r="F7" s="3">
        <v>46.6</v>
      </c>
      <c r="G7" s="3"/>
      <c r="H7" s="3"/>
      <c r="I7" s="3" t="s">
        <v>596</v>
      </c>
      <c r="J7" s="3">
        <f t="shared" si="0"/>
        <v>6.1999999999999993</v>
      </c>
      <c r="K7" s="3">
        <v>5.0999999999999996</v>
      </c>
      <c r="L7" s="3">
        <v>7.3</v>
      </c>
      <c r="M7" s="3"/>
      <c r="N7" s="3"/>
      <c r="O7" s="3" t="s">
        <v>648</v>
      </c>
      <c r="P7" s="3">
        <v>0</v>
      </c>
      <c r="Q7" s="3"/>
      <c r="R7" s="3"/>
      <c r="S7" s="3"/>
      <c r="T7" s="3"/>
      <c r="U7" s="3"/>
    </row>
    <row r="8" spans="1:21" ht="15.6" x14ac:dyDescent="0.35">
      <c r="A8" s="3" t="s">
        <v>589</v>
      </c>
      <c r="B8" s="3" t="s">
        <v>606</v>
      </c>
      <c r="C8" s="3"/>
      <c r="D8" s="3"/>
      <c r="E8" s="3" t="s">
        <v>607</v>
      </c>
      <c r="F8" s="3">
        <v>58.3</v>
      </c>
      <c r="G8" s="3"/>
      <c r="H8" s="3"/>
      <c r="I8" s="3" t="s">
        <v>332</v>
      </c>
      <c r="J8" s="3">
        <f t="shared" si="0"/>
        <v>19.5</v>
      </c>
      <c r="K8" s="3">
        <v>16</v>
      </c>
      <c r="L8" s="3">
        <v>23</v>
      </c>
      <c r="M8" s="3"/>
      <c r="N8" s="3"/>
      <c r="O8" s="3"/>
      <c r="P8" s="3"/>
      <c r="Q8" s="3"/>
      <c r="R8" s="3"/>
      <c r="S8" s="3"/>
      <c r="T8" s="3"/>
      <c r="U8" s="3"/>
    </row>
    <row r="9" spans="1:21" ht="15.6" x14ac:dyDescent="0.35">
      <c r="A9" s="3" t="s">
        <v>590</v>
      </c>
      <c r="B9" s="3" t="s">
        <v>593</v>
      </c>
      <c r="C9" s="3"/>
      <c r="D9" s="3"/>
      <c r="E9" s="3" t="s">
        <v>332</v>
      </c>
      <c r="F9" s="3">
        <v>187</v>
      </c>
      <c r="G9" s="3"/>
      <c r="H9" s="3"/>
      <c r="I9" s="3" t="s">
        <v>606</v>
      </c>
      <c r="J9" s="3">
        <f t="shared" si="0"/>
        <v>5.5</v>
      </c>
      <c r="K9" s="3">
        <v>4.5</v>
      </c>
      <c r="L9" s="3">
        <v>6.5</v>
      </c>
      <c r="M9" s="3"/>
      <c r="N9" s="3"/>
      <c r="O9" s="3"/>
      <c r="P9" s="3"/>
      <c r="Q9" s="3"/>
      <c r="R9" s="3"/>
      <c r="S9" s="3"/>
      <c r="T9" s="3"/>
      <c r="U9" s="3"/>
    </row>
    <row r="10" spans="1:21" ht="15.6" x14ac:dyDescent="0.35">
      <c r="A10" s="3" t="s">
        <v>590</v>
      </c>
      <c r="B10" s="3" t="s">
        <v>594</v>
      </c>
      <c r="C10" s="3"/>
      <c r="D10" s="3"/>
      <c r="E10" s="3" t="s">
        <v>606</v>
      </c>
      <c r="F10" s="3">
        <v>51.8</v>
      </c>
      <c r="G10" s="3"/>
      <c r="H10" s="3"/>
      <c r="I10" s="3" t="s">
        <v>609</v>
      </c>
      <c r="J10" s="3">
        <f t="shared" si="0"/>
        <v>3.3</v>
      </c>
      <c r="K10" s="3">
        <v>2.7</v>
      </c>
      <c r="L10" s="3">
        <v>3.9</v>
      </c>
      <c r="M10" s="3"/>
      <c r="N10" s="3"/>
      <c r="O10" s="3"/>
      <c r="P10" s="3"/>
      <c r="Q10" s="3"/>
      <c r="R10" s="3"/>
      <c r="S10" s="3"/>
      <c r="T10" s="3"/>
      <c r="U10" s="3"/>
    </row>
    <row r="11" spans="1:21" ht="15.6" x14ac:dyDescent="0.35">
      <c r="A11" s="3" t="s">
        <v>590</v>
      </c>
      <c r="B11" s="3" t="s">
        <v>596</v>
      </c>
      <c r="C11" s="3"/>
      <c r="D11" s="3"/>
      <c r="E11" s="3" t="s">
        <v>609</v>
      </c>
      <c r="F11" s="3">
        <v>31.1</v>
      </c>
      <c r="G11" s="3"/>
      <c r="H11" s="3"/>
      <c r="I11" s="3" t="s">
        <v>610</v>
      </c>
      <c r="J11" s="3">
        <f t="shared" si="0"/>
        <v>6.6</v>
      </c>
      <c r="K11" s="3">
        <v>5.4</v>
      </c>
      <c r="L11" s="3">
        <v>7.8</v>
      </c>
      <c r="M11" s="3"/>
      <c r="N11" s="3"/>
      <c r="O11" s="3"/>
      <c r="P11" s="3"/>
      <c r="Q11" s="3"/>
      <c r="R11" s="3"/>
      <c r="S11" s="3"/>
      <c r="T11" s="3"/>
      <c r="U11" s="3"/>
    </row>
    <row r="12" spans="1:21" ht="15.6" x14ac:dyDescent="0.35">
      <c r="A12" s="3" t="s">
        <v>590</v>
      </c>
      <c r="B12" s="3" t="s">
        <v>607</v>
      </c>
      <c r="C12" s="3"/>
      <c r="D12" s="3"/>
      <c r="E12" s="3" t="s">
        <v>610</v>
      </c>
      <c r="F12" s="3">
        <v>62.2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1" ht="15.6" x14ac:dyDescent="0.35">
      <c r="A13" s="3" t="s">
        <v>590</v>
      </c>
      <c r="B13" s="3" t="s">
        <v>608</v>
      </c>
      <c r="C13" s="3"/>
      <c r="D13" s="3"/>
      <c r="E13" s="3" t="s">
        <v>611</v>
      </c>
      <c r="F13" s="3">
        <v>35.9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1" ht="15.6" x14ac:dyDescent="0.35">
      <c r="A14" s="3" t="s">
        <v>590</v>
      </c>
      <c r="B14" s="3" t="s">
        <v>332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ht="15.6" x14ac:dyDescent="0.35">
      <c r="A15" s="3" t="s">
        <v>590</v>
      </c>
      <c r="B15" s="3" t="s">
        <v>606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1" ht="16.2" thickBot="1" x14ac:dyDescent="0.4">
      <c r="A16" s="3" t="s">
        <v>591</v>
      </c>
      <c r="B16" s="3" t="s">
        <v>593</v>
      </c>
      <c r="C16" s="3"/>
      <c r="D16" s="3"/>
      <c r="E16" s="3"/>
      <c r="F16" s="3"/>
      <c r="G16" s="3"/>
      <c r="H16" s="3"/>
      <c r="I16" s="49" t="s">
        <v>647</v>
      </c>
      <c r="J16" s="49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1:22" ht="16.2" thickTop="1" x14ac:dyDescent="0.35">
      <c r="A17" s="3" t="s">
        <v>591</v>
      </c>
      <c r="B17" s="3" t="s">
        <v>594</v>
      </c>
      <c r="C17" s="3"/>
      <c r="D17" s="3"/>
      <c r="E17" s="3"/>
      <c r="F17" s="3"/>
      <c r="G17" s="3"/>
      <c r="H17" s="3" t="s">
        <v>690</v>
      </c>
      <c r="I17" s="3" t="s">
        <v>598</v>
      </c>
      <c r="J17" s="3" t="s">
        <v>603</v>
      </c>
      <c r="K17" s="25" t="s">
        <v>585</v>
      </c>
      <c r="L17" s="26" t="s">
        <v>588</v>
      </c>
      <c r="M17" s="26" t="s">
        <v>589</v>
      </c>
      <c r="N17" s="26" t="s">
        <v>590</v>
      </c>
      <c r="O17" s="27" t="s">
        <v>591</v>
      </c>
      <c r="P17" s="3" t="s">
        <v>689</v>
      </c>
      <c r="Q17" s="3"/>
      <c r="R17" s="3"/>
      <c r="S17" s="3"/>
      <c r="T17" s="3"/>
      <c r="U17" s="3"/>
    </row>
    <row r="18" spans="1:22" ht="15.6" x14ac:dyDescent="0.35">
      <c r="A18" s="3" t="s">
        <v>591</v>
      </c>
      <c r="B18" s="3" t="s">
        <v>596</v>
      </c>
      <c r="C18" s="3"/>
      <c r="D18" s="3"/>
      <c r="E18" s="3"/>
      <c r="F18" s="3"/>
      <c r="G18" s="3"/>
      <c r="H18" s="32">
        <f>伤害计算!P5-J18</f>
        <v>7.0707070707070709</v>
      </c>
      <c r="I18" s="3" t="s">
        <v>592</v>
      </c>
      <c r="J18" s="32">
        <f>(K18+L18+M18+N18+O18)/J5</f>
        <v>2.9292929292929295</v>
      </c>
      <c r="K18" s="24">
        <v>8.6999999999999993</v>
      </c>
      <c r="L18" s="23">
        <v>0</v>
      </c>
      <c r="M18" s="23">
        <v>0</v>
      </c>
      <c r="N18" s="23">
        <v>5.8</v>
      </c>
      <c r="O18" s="28">
        <v>0</v>
      </c>
      <c r="P18" s="3">
        <f>K18+L18+M18+N18+O18</f>
        <v>14.5</v>
      </c>
      <c r="Q18" s="3"/>
      <c r="R18" s="3"/>
      <c r="S18" s="3"/>
      <c r="T18" s="3"/>
      <c r="U18" s="3"/>
    </row>
    <row r="19" spans="1:22" ht="15.6" x14ac:dyDescent="0.35">
      <c r="A19" s="3" t="s">
        <v>591</v>
      </c>
      <c r="B19" s="3" t="s">
        <v>332</v>
      </c>
      <c r="C19" s="3"/>
      <c r="D19" s="3"/>
      <c r="E19" s="3"/>
      <c r="F19" s="3"/>
      <c r="G19" s="3"/>
      <c r="H19" s="32">
        <f>伤害计算!P10-J19</f>
        <v>-2.696969696969699</v>
      </c>
      <c r="I19" s="3" t="s">
        <v>609</v>
      </c>
      <c r="J19" s="32">
        <f>(K19+L19+M19+N19+O19)/J10</f>
        <v>8.696969696969699</v>
      </c>
      <c r="K19" s="24">
        <v>12.4</v>
      </c>
      <c r="L19" s="23">
        <v>0</v>
      </c>
      <c r="M19" s="23">
        <v>9.3000000000000007</v>
      </c>
      <c r="N19" s="23">
        <v>7</v>
      </c>
      <c r="O19" s="28">
        <v>0</v>
      </c>
      <c r="P19" s="3">
        <f>K19+L19+M19+N19+O19</f>
        <v>28.700000000000003</v>
      </c>
      <c r="Q19" s="3"/>
      <c r="R19" s="3"/>
      <c r="S19" s="3"/>
      <c r="T19" s="3"/>
      <c r="U19" s="3"/>
    </row>
    <row r="20" spans="1:22" ht="15.6" x14ac:dyDescent="0.35">
      <c r="A20" s="3" t="s">
        <v>591</v>
      </c>
      <c r="B20" s="3" t="s">
        <v>609</v>
      </c>
      <c r="C20" s="3"/>
      <c r="D20" s="3"/>
      <c r="E20" s="3"/>
      <c r="F20" s="3"/>
      <c r="G20" s="3"/>
      <c r="H20" s="32">
        <f>伤害计算!P11-J20</f>
        <v>7.1212121212121211</v>
      </c>
      <c r="I20" s="3" t="s">
        <v>610</v>
      </c>
      <c r="J20" s="32">
        <f>(K20+L20+M20+N20+O20)/J11</f>
        <v>5.8787878787878789</v>
      </c>
      <c r="K20" s="24">
        <v>5.4</v>
      </c>
      <c r="L20" s="23">
        <v>0</v>
      </c>
      <c r="M20" s="23">
        <v>14</v>
      </c>
      <c r="N20" s="23">
        <v>19.399999999999999</v>
      </c>
      <c r="O20" s="28">
        <v>0</v>
      </c>
      <c r="P20" s="3">
        <f t="shared" ref="P20:P21" si="1">K20+L20+M20+N20+O20</f>
        <v>38.799999999999997</v>
      </c>
      <c r="Q20" s="3"/>
      <c r="R20" s="3"/>
      <c r="S20" s="3"/>
      <c r="T20" s="3"/>
      <c r="U20" s="3"/>
    </row>
    <row r="21" spans="1:22" ht="16.2" thickBot="1" x14ac:dyDescent="0.4">
      <c r="A21" s="3" t="s">
        <v>591</v>
      </c>
      <c r="B21" s="3" t="s">
        <v>610</v>
      </c>
      <c r="C21" s="3"/>
      <c r="D21" s="3"/>
      <c r="E21" s="3"/>
      <c r="F21" s="3"/>
      <c r="G21" s="3"/>
      <c r="H21" s="32">
        <f>伤害计算!P8-J21</f>
        <v>0</v>
      </c>
      <c r="I21" s="3" t="s">
        <v>332</v>
      </c>
      <c r="J21" s="32">
        <f>(K21+L21+M21+N21+O21)/J8</f>
        <v>0</v>
      </c>
      <c r="K21" s="29">
        <v>0</v>
      </c>
      <c r="L21" s="30">
        <v>0</v>
      </c>
      <c r="M21" s="30">
        <v>0</v>
      </c>
      <c r="N21" s="30">
        <v>0</v>
      </c>
      <c r="O21" s="31">
        <v>0</v>
      </c>
      <c r="P21" s="3">
        <f t="shared" si="1"/>
        <v>0</v>
      </c>
      <c r="Q21" s="3"/>
      <c r="R21" s="3"/>
      <c r="S21" s="3"/>
      <c r="T21" s="3"/>
      <c r="U21" s="3"/>
    </row>
    <row r="22" spans="1:22" ht="16.2" thickTop="1" x14ac:dyDescent="0.35">
      <c r="A22" s="3" t="s">
        <v>591</v>
      </c>
      <c r="B22" s="3" t="s">
        <v>611</v>
      </c>
      <c r="C22" s="3"/>
      <c r="D22" s="3"/>
      <c r="E22" s="3"/>
      <c r="F22" s="3"/>
      <c r="G22" s="3"/>
      <c r="I22" s="3" t="s">
        <v>604</v>
      </c>
      <c r="J22" s="32">
        <f>J18+J19+J20+J21</f>
        <v>17.505050505050505</v>
      </c>
      <c r="K22" s="32">
        <f>K18/J5+K19/J10+K20/J11+K21/J8</f>
        <v>6.3333333333333339</v>
      </c>
      <c r="L22" s="32">
        <f>L18/J5+L19/J10+L20/J11+L21/J8</f>
        <v>0</v>
      </c>
      <c r="M22" s="32">
        <f>M18/J5+M19/J10+M20/J11+M21/J8</f>
        <v>4.9393939393939394</v>
      </c>
      <c r="N22" s="32">
        <f>N18/J5+N19/J10+N20/J11+N21/J8</f>
        <v>6.2323232323232327</v>
      </c>
      <c r="O22" s="32">
        <f>O18/J5+O19/J10+O20/J11+O21/J8</f>
        <v>0</v>
      </c>
      <c r="P22" s="3"/>
      <c r="Q22" s="3"/>
      <c r="R22" s="3"/>
      <c r="S22" s="3"/>
      <c r="T22" s="3"/>
      <c r="U22" s="3"/>
    </row>
    <row r="23" spans="1:22" ht="15.6" x14ac:dyDescent="0.35">
      <c r="A23" s="3"/>
      <c r="B23" s="3"/>
      <c r="C23" s="3"/>
      <c r="D23" s="3"/>
      <c r="E23" s="3"/>
      <c r="F23" s="3"/>
      <c r="G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ht="15.6" x14ac:dyDescent="0.3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ht="15.6" x14ac:dyDescent="0.35">
      <c r="A25" s="3"/>
      <c r="B25" s="34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ht="15.6" x14ac:dyDescent="0.3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ht="15.6" x14ac:dyDescent="0.3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N27" s="3"/>
      <c r="O27" s="3"/>
      <c r="P27" s="3"/>
      <c r="Q27" s="3"/>
      <c r="R27" s="3"/>
      <c r="S27" s="3"/>
      <c r="T27" s="3"/>
      <c r="U27" s="3"/>
      <c r="V27" s="3"/>
    </row>
    <row r="28" spans="1:22" ht="15.6" x14ac:dyDescent="0.3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N28" s="3"/>
      <c r="O28" s="3"/>
      <c r="P28" s="3"/>
      <c r="Q28" s="3"/>
      <c r="R28" s="3"/>
      <c r="S28" s="3"/>
      <c r="T28" s="3"/>
      <c r="U28" s="3"/>
      <c r="V28" s="3"/>
    </row>
    <row r="29" spans="1:22" ht="15.6" x14ac:dyDescent="0.3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N29" s="3"/>
      <c r="O29" s="3"/>
      <c r="P29" s="3"/>
      <c r="Q29" s="3"/>
      <c r="R29" s="3"/>
      <c r="S29" s="3"/>
      <c r="T29" s="3"/>
      <c r="U29" s="3"/>
      <c r="V29" s="3"/>
    </row>
    <row r="30" spans="1:22" ht="15.6" x14ac:dyDescent="0.3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N30" s="3"/>
      <c r="O30" s="3"/>
      <c r="P30" s="3"/>
      <c r="Q30" s="3"/>
      <c r="R30" s="3"/>
      <c r="S30" s="3"/>
      <c r="T30" s="3"/>
      <c r="U30" s="3"/>
      <c r="V30" s="3"/>
    </row>
    <row r="31" spans="1:22" ht="15.6" x14ac:dyDescent="0.3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N31" s="3"/>
      <c r="O31" s="3"/>
      <c r="P31" s="3"/>
      <c r="Q31" s="3"/>
      <c r="R31" s="3"/>
      <c r="S31" s="3"/>
      <c r="T31" s="3"/>
      <c r="U31" s="3"/>
      <c r="V31" s="3"/>
    </row>
    <row r="32" spans="1:22" ht="15.6" x14ac:dyDescent="0.3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</row>
    <row r="33" spans="1:22" ht="15.6" x14ac:dyDescent="0.3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</row>
    <row r="34" spans="1:22" ht="15.6" x14ac:dyDescent="0.3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</row>
    <row r="35" spans="1:22" ht="15.6" x14ac:dyDescent="0.3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</row>
    <row r="36" spans="1:22" ht="15.6" x14ac:dyDescent="0.3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</row>
    <row r="37" spans="1:22" ht="15.6" x14ac:dyDescent="0.3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</row>
    <row r="38" spans="1:22" ht="15.6" x14ac:dyDescent="0.3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</row>
    <row r="39" spans="1:22" ht="15.6" x14ac:dyDescent="0.3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</row>
    <row r="40" spans="1:22" ht="15.6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</row>
    <row r="41" spans="1:22" ht="15.6" x14ac:dyDescent="0.3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</row>
    <row r="42" spans="1:22" ht="15.6" x14ac:dyDescent="0.3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</row>
    <row r="43" spans="1:22" ht="15.6" x14ac:dyDescent="0.3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1:22" ht="15.6" x14ac:dyDescent="0.3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</row>
    <row r="45" spans="1:22" ht="15.6" x14ac:dyDescent="0.3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</row>
    <row r="46" spans="1:22" ht="15.6" x14ac:dyDescent="0.3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</row>
    <row r="47" spans="1:22" ht="15.6" x14ac:dyDescent="0.3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</row>
    <row r="48" spans="1:22" ht="15.6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</row>
    <row r="49" spans="1:22" ht="15.6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ht="15.6" x14ac:dyDescent="0.3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</row>
    <row r="51" spans="1:22" ht="15.6" x14ac:dyDescent="0.3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</row>
    <row r="52" spans="1:22" ht="15.6" x14ac:dyDescent="0.3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22" ht="15.6" x14ac:dyDescent="0.3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</row>
    <row r="54" spans="1:22" ht="15.6" x14ac:dyDescent="0.3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</row>
    <row r="55" spans="1:22" ht="15.6" x14ac:dyDescent="0.3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</row>
    <row r="56" spans="1:22" ht="15.6" x14ac:dyDescent="0.3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</row>
    <row r="57" spans="1:22" ht="15.6" x14ac:dyDescent="0.3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</row>
    <row r="58" spans="1:22" ht="15.6" x14ac:dyDescent="0.3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</row>
    <row r="59" spans="1:22" ht="15.6" x14ac:dyDescent="0.3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</row>
    <row r="60" spans="1:22" ht="15.6" x14ac:dyDescent="0.3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1:22" ht="15.6" x14ac:dyDescent="0.3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</row>
    <row r="62" spans="1:22" ht="15.6" x14ac:dyDescent="0.3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</row>
    <row r="63" spans="1:22" ht="15.6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</row>
    <row r="64" spans="1:22" ht="15.6" x14ac:dyDescent="0.3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</row>
    <row r="65" spans="1:22" ht="15.6" x14ac:dyDescent="0.3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</row>
    <row r="66" spans="1:22" ht="15.6" x14ac:dyDescent="0.3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</row>
    <row r="67" spans="1:22" ht="15.6" x14ac:dyDescent="0.3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</row>
    <row r="68" spans="1:22" ht="15.6" x14ac:dyDescent="0.3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</row>
    <row r="69" spans="1:22" ht="15.6" x14ac:dyDescent="0.3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</row>
    <row r="70" spans="1:22" ht="15.6" x14ac:dyDescent="0.3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</row>
    <row r="71" spans="1:22" ht="15.6" x14ac:dyDescent="0.3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</row>
    <row r="72" spans="1:22" ht="15.6" x14ac:dyDescent="0.3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</row>
    <row r="73" spans="1:22" ht="15.6" x14ac:dyDescent="0.3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</row>
    <row r="74" spans="1:22" ht="15.6" x14ac:dyDescent="0.3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</row>
    <row r="75" spans="1:22" ht="15.6" x14ac:dyDescent="0.3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</row>
    <row r="76" spans="1:22" ht="15.6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</row>
    <row r="77" spans="1:22" ht="15.6" x14ac:dyDescent="0.3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</row>
    <row r="78" spans="1:22" ht="15.6" x14ac:dyDescent="0.3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</row>
    <row r="79" spans="1:22" ht="15.6" x14ac:dyDescent="0.3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</row>
    <row r="80" spans="1:22" ht="15.6" x14ac:dyDescent="0.3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</row>
    <row r="81" spans="1:22" ht="15.6" x14ac:dyDescent="0.3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</row>
    <row r="82" spans="1:22" ht="15.6" x14ac:dyDescent="0.3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</row>
    <row r="83" spans="1:22" ht="15.6" x14ac:dyDescent="0.3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</row>
    <row r="84" spans="1:22" ht="15.6" x14ac:dyDescent="0.3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</row>
    <row r="85" spans="1:22" ht="15.6" x14ac:dyDescent="0.3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</row>
    <row r="86" spans="1:22" ht="15.6" x14ac:dyDescent="0.3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</row>
    <row r="87" spans="1:22" ht="15.6" x14ac:dyDescent="0.3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</row>
    <row r="88" spans="1:22" ht="15.6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</row>
    <row r="89" spans="1:22" ht="15.6" x14ac:dyDescent="0.3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</row>
    <row r="90" spans="1:22" ht="15.6" x14ac:dyDescent="0.3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</row>
    <row r="91" spans="1:22" ht="15.6" x14ac:dyDescent="0.3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</row>
    <row r="92" spans="1:22" ht="15.6" x14ac:dyDescent="0.3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</row>
    <row r="93" spans="1:22" ht="15.6" x14ac:dyDescent="0.3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</row>
    <row r="94" spans="1:22" ht="15.6" x14ac:dyDescent="0.3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</row>
    <row r="95" spans="1:22" ht="15.6" x14ac:dyDescent="0.3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</row>
    <row r="96" spans="1:22" ht="15.6" x14ac:dyDescent="0.3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</row>
    <row r="97" spans="1:22" ht="15.6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ht="15.6" x14ac:dyDescent="0.3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</row>
    <row r="99" spans="1:22" ht="15.6" x14ac:dyDescent="0.3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22" ht="15.6" x14ac:dyDescent="0.3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</row>
    <row r="101" spans="1:22" ht="15.6" x14ac:dyDescent="0.3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</row>
    <row r="102" spans="1:22" ht="15.6" x14ac:dyDescent="0.3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</row>
    <row r="103" spans="1:22" ht="15.6" x14ac:dyDescent="0.3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</row>
    <row r="104" spans="1:22" ht="15.6" x14ac:dyDescent="0.3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</row>
    <row r="105" spans="1:22" ht="15.6" x14ac:dyDescent="0.3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</row>
    <row r="106" spans="1:22" ht="15.6" x14ac:dyDescent="0.3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</row>
    <row r="107" spans="1:22" ht="15.6" x14ac:dyDescent="0.3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</row>
    <row r="108" spans="1:22" ht="15.6" x14ac:dyDescent="0.3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</row>
    <row r="109" spans="1:22" ht="15.6" x14ac:dyDescent="0.3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</row>
    <row r="110" spans="1:22" ht="15.6" x14ac:dyDescent="0.3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</row>
    <row r="111" spans="1:22" ht="15.6" x14ac:dyDescent="0.3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</row>
    <row r="112" spans="1:22" ht="15.6" x14ac:dyDescent="0.3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</row>
    <row r="113" spans="1:22" ht="15.6" x14ac:dyDescent="0.3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</row>
    <row r="114" spans="1:22" ht="15.6" x14ac:dyDescent="0.3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</row>
    <row r="115" spans="1:22" ht="15.6" x14ac:dyDescent="0.3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</row>
    <row r="116" spans="1:22" ht="15.6" x14ac:dyDescent="0.3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</row>
    <row r="117" spans="1:22" ht="15.6" x14ac:dyDescent="0.3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</row>
    <row r="118" spans="1:22" ht="15.6" x14ac:dyDescent="0.3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</row>
    <row r="119" spans="1:22" ht="15.6" x14ac:dyDescent="0.3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</row>
    <row r="120" spans="1:22" ht="15.6" x14ac:dyDescent="0.3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</row>
    <row r="121" spans="1:22" ht="15.6" x14ac:dyDescent="0.3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</row>
    <row r="122" spans="1:22" ht="15.6" x14ac:dyDescent="0.3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</row>
    <row r="123" spans="1:22" ht="15.6" x14ac:dyDescent="0.3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</row>
    <row r="124" spans="1:22" ht="15.6" x14ac:dyDescent="0.3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</row>
    <row r="125" spans="1:22" ht="15.6" x14ac:dyDescent="0.3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</row>
    <row r="126" spans="1:22" ht="15.6" x14ac:dyDescent="0.3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</row>
    <row r="127" spans="1:22" ht="15.6" x14ac:dyDescent="0.3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</row>
    <row r="128" spans="1:22" ht="15.6" x14ac:dyDescent="0.3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</row>
    <row r="129" spans="1:22" ht="15.6" x14ac:dyDescent="0.3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</row>
    <row r="130" spans="1:22" ht="15.6" x14ac:dyDescent="0.3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</row>
    <row r="131" spans="1:22" ht="15.6" x14ac:dyDescent="0.3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</row>
    <row r="132" spans="1:22" ht="15.6" x14ac:dyDescent="0.3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</row>
    <row r="133" spans="1:22" ht="15.6" x14ac:dyDescent="0.3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</row>
    <row r="134" spans="1:22" ht="15.6" x14ac:dyDescent="0.3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</row>
    <row r="135" spans="1:22" ht="15.6" x14ac:dyDescent="0.3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</row>
    <row r="136" spans="1:22" ht="15.6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</row>
    <row r="137" spans="1:22" ht="15.6" x14ac:dyDescent="0.3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</row>
    <row r="138" spans="1:22" ht="15.6" x14ac:dyDescent="0.3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</row>
    <row r="139" spans="1:22" ht="15.6" x14ac:dyDescent="0.3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</row>
    <row r="140" spans="1:22" ht="15.6" x14ac:dyDescent="0.3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</row>
    <row r="141" spans="1:22" ht="15.6" x14ac:dyDescent="0.3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</row>
    <row r="142" spans="1:22" ht="15.6" x14ac:dyDescent="0.3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</row>
    <row r="143" spans="1:22" ht="15.6" x14ac:dyDescent="0.3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</row>
    <row r="144" spans="1:22" ht="15.6" x14ac:dyDescent="0.3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</row>
    <row r="145" spans="1:22" ht="15.6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ht="15.6" x14ac:dyDescent="0.3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</row>
    <row r="147" spans="1:22" ht="15.6" x14ac:dyDescent="0.3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</row>
    <row r="148" spans="1:22" ht="15.6" x14ac:dyDescent="0.3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</row>
    <row r="149" spans="1:22" ht="15.6" x14ac:dyDescent="0.3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</row>
    <row r="150" spans="1:22" ht="15.6" x14ac:dyDescent="0.35">
      <c r="A150" s="3"/>
      <c r="B150" s="3"/>
      <c r="C150" s="3"/>
      <c r="D150" s="3"/>
      <c r="E150" s="3"/>
      <c r="F150" s="3"/>
      <c r="G150" s="3"/>
      <c r="H150" s="3"/>
      <c r="M150" s="3"/>
      <c r="N150" s="3"/>
      <c r="R150" s="3"/>
      <c r="S150" s="3"/>
      <c r="T150" s="3"/>
      <c r="U150" s="3"/>
      <c r="V150" s="3"/>
    </row>
    <row r="151" spans="1:22" ht="15.6" x14ac:dyDescent="0.35">
      <c r="F151" s="3"/>
      <c r="G151" s="3"/>
    </row>
    <row r="152" spans="1:22" ht="15.6" x14ac:dyDescent="0.35">
      <c r="F152" s="3"/>
      <c r="G152" s="3"/>
    </row>
  </sheetData>
  <mergeCells count="1">
    <mergeCell ref="I16:J16"/>
  </mergeCells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42F40-CD4E-44A8-9397-CCFA4D1D8A0A}">
  <sheetPr codeName="Sheet5"/>
  <dimension ref="A1:P37"/>
  <sheetViews>
    <sheetView workbookViewId="0">
      <pane ySplit="1" topLeftCell="A2" activePane="bottomLeft" state="frozen"/>
      <selection pane="bottomLeft"/>
    </sheetView>
  </sheetViews>
  <sheetFormatPr defaultRowHeight="13.8" x14ac:dyDescent="0.25"/>
  <cols>
    <col min="1" max="1" width="11.109375" customWidth="1"/>
    <col min="2" max="2" width="12.33203125" customWidth="1"/>
    <col min="3" max="4" width="10" customWidth="1"/>
    <col min="5" max="5" width="13.33203125" customWidth="1"/>
    <col min="6" max="6" width="12.21875" customWidth="1"/>
    <col min="7" max="9" width="10" customWidth="1"/>
    <col min="10" max="10" width="13.33203125" customWidth="1"/>
    <col min="11" max="11" width="11.44140625" customWidth="1"/>
    <col min="12" max="12" width="15.5546875" customWidth="1"/>
    <col min="13" max="13" width="9.109375" customWidth="1"/>
    <col min="14" max="14" width="12.109375" customWidth="1"/>
  </cols>
  <sheetData>
    <row r="1" spans="1:16" x14ac:dyDescent="0.25">
      <c r="A1" t="s">
        <v>9</v>
      </c>
      <c r="B1" t="s">
        <v>232</v>
      </c>
      <c r="C1" t="s">
        <v>24</v>
      </c>
      <c r="D1" t="s">
        <v>25</v>
      </c>
      <c r="E1" t="s">
        <v>23</v>
      </c>
      <c r="F1" t="s">
        <v>322</v>
      </c>
      <c r="G1" t="s">
        <v>198</v>
      </c>
      <c r="H1" t="s">
        <v>199</v>
      </c>
      <c r="I1" t="s">
        <v>200</v>
      </c>
      <c r="J1" t="s">
        <v>342</v>
      </c>
      <c r="K1" t="s">
        <v>335</v>
      </c>
      <c r="L1" t="s">
        <v>671</v>
      </c>
      <c r="P1" t="s">
        <v>368</v>
      </c>
    </row>
    <row r="2" spans="1:16" x14ac:dyDescent="0.25">
      <c r="A2" t="s">
        <v>201</v>
      </c>
      <c r="B2" t="s">
        <v>233</v>
      </c>
      <c r="C2" t="s">
        <v>22</v>
      </c>
      <c r="D2" t="s">
        <v>18</v>
      </c>
      <c r="E2" t="s">
        <v>203</v>
      </c>
      <c r="F2" t="s">
        <v>35</v>
      </c>
      <c r="G2" t="s">
        <v>87</v>
      </c>
      <c r="H2" t="s">
        <v>35</v>
      </c>
      <c r="I2" t="s">
        <v>265</v>
      </c>
      <c r="J2" t="s">
        <v>343</v>
      </c>
      <c r="K2" t="s">
        <v>393</v>
      </c>
      <c r="L2" t="s">
        <v>634</v>
      </c>
      <c r="N2" t="s">
        <v>626</v>
      </c>
      <c r="O2">
        <v>24</v>
      </c>
      <c r="P2" t="s">
        <v>370</v>
      </c>
    </row>
    <row r="3" spans="1:16" x14ac:dyDescent="0.25">
      <c r="A3" t="s">
        <v>206</v>
      </c>
      <c r="B3" t="s">
        <v>233</v>
      </c>
      <c r="C3" t="s">
        <v>207</v>
      </c>
      <c r="D3" t="s">
        <v>202</v>
      </c>
      <c r="E3" t="s">
        <v>208</v>
      </c>
      <c r="F3" t="s">
        <v>209</v>
      </c>
      <c r="G3" t="s">
        <v>210</v>
      </c>
      <c r="H3" t="s">
        <v>209</v>
      </c>
      <c r="I3" t="s">
        <v>264</v>
      </c>
      <c r="J3" t="s">
        <v>343</v>
      </c>
      <c r="K3" t="s">
        <v>329</v>
      </c>
      <c r="L3" t="s">
        <v>629</v>
      </c>
      <c r="N3" t="s">
        <v>627</v>
      </c>
      <c r="O3">
        <v>24</v>
      </c>
      <c r="P3" t="s">
        <v>378</v>
      </c>
    </row>
    <row r="4" spans="1:16" x14ac:dyDescent="0.25">
      <c r="A4" t="s">
        <v>214</v>
      </c>
      <c r="B4" t="s">
        <v>233</v>
      </c>
      <c r="C4" t="s">
        <v>22</v>
      </c>
      <c r="D4" t="s">
        <v>202</v>
      </c>
      <c r="E4" t="s">
        <v>208</v>
      </c>
      <c r="F4" t="s">
        <v>239</v>
      </c>
      <c r="G4" t="s">
        <v>205</v>
      </c>
      <c r="H4" t="s">
        <v>239</v>
      </c>
      <c r="I4" t="s">
        <v>267</v>
      </c>
      <c r="J4" t="s">
        <v>343</v>
      </c>
      <c r="K4" t="s">
        <v>330</v>
      </c>
      <c r="L4" t="s">
        <v>626</v>
      </c>
      <c r="N4" t="s">
        <v>628</v>
      </c>
      <c r="O4">
        <v>30</v>
      </c>
      <c r="P4" t="s">
        <v>522</v>
      </c>
    </row>
    <row r="5" spans="1:16" x14ac:dyDescent="0.25">
      <c r="A5" t="s">
        <v>218</v>
      </c>
      <c r="B5" t="s">
        <v>233</v>
      </c>
      <c r="C5" t="s">
        <v>207</v>
      </c>
      <c r="D5" t="s">
        <v>202</v>
      </c>
      <c r="E5" t="s">
        <v>240</v>
      </c>
      <c r="F5" t="s">
        <v>62</v>
      </c>
      <c r="G5" t="s">
        <v>210</v>
      </c>
      <c r="H5" t="s">
        <v>241</v>
      </c>
      <c r="I5" t="s">
        <v>264</v>
      </c>
      <c r="J5" t="s">
        <v>343</v>
      </c>
      <c r="K5" t="s">
        <v>331</v>
      </c>
      <c r="L5" t="s">
        <v>633</v>
      </c>
      <c r="N5" t="s">
        <v>632</v>
      </c>
      <c r="O5">
        <v>96</v>
      </c>
    </row>
    <row r="6" spans="1:16" x14ac:dyDescent="0.25">
      <c r="A6" t="s">
        <v>226</v>
      </c>
      <c r="B6" t="s">
        <v>233</v>
      </c>
      <c r="C6" t="s">
        <v>22</v>
      </c>
      <c r="D6" t="s">
        <v>202</v>
      </c>
      <c r="E6" t="s">
        <v>242</v>
      </c>
      <c r="F6" t="s">
        <v>243</v>
      </c>
      <c r="G6" t="s">
        <v>244</v>
      </c>
      <c r="H6" t="s">
        <v>243</v>
      </c>
      <c r="I6" t="s">
        <v>268</v>
      </c>
      <c r="J6" t="s">
        <v>343</v>
      </c>
      <c r="K6" t="s">
        <v>332</v>
      </c>
      <c r="L6" t="s">
        <v>632</v>
      </c>
      <c r="N6" t="s">
        <v>638</v>
      </c>
      <c r="O6">
        <v>115.2</v>
      </c>
    </row>
    <row r="7" spans="1:16" x14ac:dyDescent="0.25">
      <c r="A7" t="s">
        <v>356</v>
      </c>
      <c r="B7" t="s">
        <v>233</v>
      </c>
      <c r="C7" t="s">
        <v>22</v>
      </c>
      <c r="D7" t="s">
        <v>202</v>
      </c>
      <c r="E7" t="s">
        <v>247</v>
      </c>
      <c r="F7" t="s">
        <v>241</v>
      </c>
      <c r="G7" t="s">
        <v>256</v>
      </c>
      <c r="H7" t="s">
        <v>241</v>
      </c>
      <c r="I7" t="s">
        <v>403</v>
      </c>
      <c r="J7" t="s">
        <v>343</v>
      </c>
      <c r="K7" t="s">
        <v>404</v>
      </c>
      <c r="L7" t="s">
        <v>626</v>
      </c>
      <c r="N7" t="s">
        <v>633</v>
      </c>
      <c r="O7">
        <v>26.7</v>
      </c>
    </row>
    <row r="8" spans="1:16" x14ac:dyDescent="0.25">
      <c r="A8" t="s">
        <v>464</v>
      </c>
      <c r="B8" t="s">
        <v>465</v>
      </c>
      <c r="C8" t="s">
        <v>22</v>
      </c>
      <c r="D8" t="s">
        <v>469</v>
      </c>
      <c r="E8" t="s">
        <v>257</v>
      </c>
      <c r="F8" t="s">
        <v>75</v>
      </c>
      <c r="G8" t="s">
        <v>91</v>
      </c>
      <c r="H8" t="s">
        <v>75</v>
      </c>
      <c r="I8" t="s">
        <v>391</v>
      </c>
      <c r="J8" t="s">
        <v>343</v>
      </c>
      <c r="K8" t="s">
        <v>466</v>
      </c>
      <c r="L8" t="s">
        <v>630</v>
      </c>
      <c r="N8" t="s">
        <v>637</v>
      </c>
      <c r="O8">
        <v>32</v>
      </c>
    </row>
    <row r="9" spans="1:16" x14ac:dyDescent="0.25">
      <c r="A9" t="s">
        <v>514</v>
      </c>
      <c r="B9" t="s">
        <v>233</v>
      </c>
      <c r="C9" t="s">
        <v>22</v>
      </c>
      <c r="D9" t="s">
        <v>469</v>
      </c>
      <c r="E9" t="s">
        <v>255</v>
      </c>
      <c r="F9" t="s">
        <v>62</v>
      </c>
      <c r="G9" t="s">
        <v>92</v>
      </c>
      <c r="H9" t="s">
        <v>62</v>
      </c>
      <c r="I9" t="s">
        <v>513</v>
      </c>
      <c r="J9" t="s">
        <v>343</v>
      </c>
      <c r="K9" t="s">
        <v>393</v>
      </c>
      <c r="L9" t="s">
        <v>631</v>
      </c>
      <c r="N9" t="s">
        <v>631</v>
      </c>
      <c r="O9">
        <v>24</v>
      </c>
    </row>
    <row r="10" spans="1:16" x14ac:dyDescent="0.25">
      <c r="A10" t="s">
        <v>534</v>
      </c>
      <c r="B10" t="s">
        <v>233</v>
      </c>
      <c r="C10" t="s">
        <v>22</v>
      </c>
      <c r="D10" t="s">
        <v>535</v>
      </c>
      <c r="E10" t="s">
        <v>536</v>
      </c>
      <c r="F10" t="s">
        <v>35</v>
      </c>
      <c r="G10" t="s">
        <v>537</v>
      </c>
      <c r="H10" t="s">
        <v>35</v>
      </c>
      <c r="I10" t="s">
        <v>517</v>
      </c>
      <c r="J10" t="s">
        <v>343</v>
      </c>
      <c r="K10" t="s">
        <v>329</v>
      </c>
      <c r="L10" t="s">
        <v>629</v>
      </c>
      <c r="N10" t="s">
        <v>634</v>
      </c>
      <c r="O10">
        <v>28.8</v>
      </c>
    </row>
    <row r="11" spans="1:16" x14ac:dyDescent="0.25">
      <c r="A11" t="s">
        <v>220</v>
      </c>
      <c r="B11" t="s">
        <v>234</v>
      </c>
      <c r="C11" t="s">
        <v>85</v>
      </c>
      <c r="D11" t="s">
        <v>74</v>
      </c>
      <c r="E11" t="s">
        <v>245</v>
      </c>
      <c r="F11" t="s">
        <v>62</v>
      </c>
      <c r="G11" t="s">
        <v>246</v>
      </c>
      <c r="H11" t="s">
        <v>62</v>
      </c>
      <c r="I11" t="s">
        <v>269</v>
      </c>
      <c r="J11" t="s">
        <v>343</v>
      </c>
      <c r="K11" t="s">
        <v>331</v>
      </c>
      <c r="L11" t="s">
        <v>633</v>
      </c>
      <c r="N11" t="s">
        <v>636</v>
      </c>
      <c r="O11">
        <v>30</v>
      </c>
    </row>
    <row r="12" spans="1:16" x14ac:dyDescent="0.25">
      <c r="A12" t="s">
        <v>223</v>
      </c>
      <c r="B12" t="s">
        <v>234</v>
      </c>
      <c r="C12" t="s">
        <v>85</v>
      </c>
      <c r="D12" t="s">
        <v>74</v>
      </c>
      <c r="E12" t="s">
        <v>247</v>
      </c>
      <c r="F12" t="s">
        <v>204</v>
      </c>
      <c r="G12" t="s">
        <v>248</v>
      </c>
      <c r="H12" t="s">
        <v>204</v>
      </c>
      <c r="I12" t="s">
        <v>266</v>
      </c>
      <c r="J12" t="s">
        <v>343</v>
      </c>
      <c r="K12" t="s">
        <v>333</v>
      </c>
      <c r="L12" t="s">
        <v>635</v>
      </c>
      <c r="N12" t="s">
        <v>629</v>
      </c>
      <c r="O12">
        <v>19.2</v>
      </c>
    </row>
    <row r="13" spans="1:16" x14ac:dyDescent="0.25">
      <c r="A13" t="s">
        <v>227</v>
      </c>
      <c r="B13" t="s">
        <v>234</v>
      </c>
      <c r="C13" t="s">
        <v>85</v>
      </c>
      <c r="D13" t="s">
        <v>74</v>
      </c>
      <c r="E13" t="s">
        <v>249</v>
      </c>
      <c r="F13" t="s">
        <v>250</v>
      </c>
      <c r="G13" t="s">
        <v>244</v>
      </c>
      <c r="H13" t="s">
        <v>250</v>
      </c>
      <c r="I13" t="s">
        <v>267</v>
      </c>
      <c r="J13" t="s">
        <v>343</v>
      </c>
      <c r="K13" t="s">
        <v>330</v>
      </c>
      <c r="L13" t="s">
        <v>626</v>
      </c>
      <c r="N13" t="s">
        <v>630</v>
      </c>
      <c r="O13">
        <v>38.4</v>
      </c>
    </row>
    <row r="14" spans="1:16" x14ac:dyDescent="0.25">
      <c r="A14" t="s">
        <v>357</v>
      </c>
      <c r="B14" t="s">
        <v>234</v>
      </c>
      <c r="C14" t="s">
        <v>85</v>
      </c>
      <c r="D14" t="s">
        <v>74</v>
      </c>
      <c r="E14" t="s">
        <v>245</v>
      </c>
      <c r="F14" t="s">
        <v>38</v>
      </c>
      <c r="G14" t="s">
        <v>87</v>
      </c>
      <c r="H14" t="s">
        <v>38</v>
      </c>
      <c r="I14" t="s">
        <v>391</v>
      </c>
      <c r="J14" t="s">
        <v>343</v>
      </c>
      <c r="K14" t="s">
        <v>392</v>
      </c>
      <c r="L14" t="s">
        <v>631</v>
      </c>
      <c r="N14" t="s">
        <v>635</v>
      </c>
      <c r="O14">
        <v>22.2</v>
      </c>
    </row>
    <row r="15" spans="1:16" x14ac:dyDescent="0.25">
      <c r="A15" t="s">
        <v>406</v>
      </c>
      <c r="B15" t="s">
        <v>407</v>
      </c>
      <c r="C15" t="s">
        <v>85</v>
      </c>
      <c r="D15" t="s">
        <v>74</v>
      </c>
      <c r="E15" t="s">
        <v>260</v>
      </c>
      <c r="F15" t="s">
        <v>75</v>
      </c>
      <c r="G15" t="s">
        <v>91</v>
      </c>
      <c r="H15" t="s">
        <v>75</v>
      </c>
      <c r="I15" t="s">
        <v>405</v>
      </c>
      <c r="J15" t="s">
        <v>343</v>
      </c>
      <c r="K15" t="s">
        <v>336</v>
      </c>
      <c r="L15" t="s">
        <v>630</v>
      </c>
    </row>
    <row r="16" spans="1:16" x14ac:dyDescent="0.25">
      <c r="A16" t="s">
        <v>409</v>
      </c>
      <c r="B16" t="s">
        <v>407</v>
      </c>
      <c r="C16" t="s">
        <v>85</v>
      </c>
      <c r="D16" t="s">
        <v>74</v>
      </c>
      <c r="E16" t="s">
        <v>254</v>
      </c>
      <c r="F16" t="s">
        <v>61</v>
      </c>
      <c r="G16" t="s">
        <v>89</v>
      </c>
      <c r="H16" t="s">
        <v>61</v>
      </c>
      <c r="I16" t="s">
        <v>405</v>
      </c>
      <c r="J16" t="s">
        <v>343</v>
      </c>
      <c r="K16" t="s">
        <v>330</v>
      </c>
      <c r="L16" t="s">
        <v>626</v>
      </c>
    </row>
    <row r="17" spans="1:12" x14ac:dyDescent="0.25">
      <c r="A17" t="s">
        <v>410</v>
      </c>
      <c r="B17" t="s">
        <v>407</v>
      </c>
      <c r="C17" t="s">
        <v>85</v>
      </c>
      <c r="D17" t="s">
        <v>525</v>
      </c>
      <c r="E17" t="s">
        <v>526</v>
      </c>
      <c r="F17" t="s">
        <v>528</v>
      </c>
      <c r="G17" t="s">
        <v>531</v>
      </c>
      <c r="H17" t="s">
        <v>528</v>
      </c>
      <c r="I17" t="s">
        <v>513</v>
      </c>
      <c r="J17" t="s">
        <v>343</v>
      </c>
      <c r="K17" t="s">
        <v>336</v>
      </c>
      <c r="L17" t="s">
        <v>630</v>
      </c>
    </row>
    <row r="18" spans="1:12" x14ac:dyDescent="0.25">
      <c r="A18" t="s">
        <v>515</v>
      </c>
      <c r="B18" t="s">
        <v>478</v>
      </c>
      <c r="C18" t="s">
        <v>85</v>
      </c>
      <c r="D18" t="s">
        <v>516</v>
      </c>
      <c r="E18" t="s">
        <v>258</v>
      </c>
      <c r="F18" t="s">
        <v>31</v>
      </c>
      <c r="G18" t="s">
        <v>479</v>
      </c>
      <c r="H18" t="s">
        <v>31</v>
      </c>
      <c r="I18" t="s">
        <v>517</v>
      </c>
      <c r="J18" t="s">
        <v>343</v>
      </c>
      <c r="K18" t="s">
        <v>336</v>
      </c>
      <c r="L18" t="s">
        <v>630</v>
      </c>
    </row>
    <row r="19" spans="1:12" x14ac:dyDescent="0.25">
      <c r="A19" t="s">
        <v>217</v>
      </c>
      <c r="B19" t="s">
        <v>235</v>
      </c>
      <c r="C19" t="s">
        <v>83</v>
      </c>
      <c r="D19" t="s">
        <v>251</v>
      </c>
      <c r="E19" t="s">
        <v>253</v>
      </c>
      <c r="F19" t="s">
        <v>250</v>
      </c>
      <c r="G19" t="s">
        <v>210</v>
      </c>
      <c r="H19" t="s">
        <v>250</v>
      </c>
      <c r="I19" t="s">
        <v>268</v>
      </c>
      <c r="J19" t="s">
        <v>343</v>
      </c>
      <c r="K19" t="s">
        <v>334</v>
      </c>
      <c r="L19" t="s">
        <v>636</v>
      </c>
    </row>
    <row r="20" spans="1:12" x14ac:dyDescent="0.25">
      <c r="A20" t="s">
        <v>219</v>
      </c>
      <c r="B20" t="s">
        <v>235</v>
      </c>
      <c r="C20" t="s">
        <v>83</v>
      </c>
      <c r="D20" t="s">
        <v>251</v>
      </c>
      <c r="E20" t="s">
        <v>254</v>
      </c>
      <c r="F20" t="s">
        <v>243</v>
      </c>
      <c r="G20" t="s">
        <v>246</v>
      </c>
      <c r="H20" t="s">
        <v>243</v>
      </c>
      <c r="I20" t="s">
        <v>268</v>
      </c>
      <c r="J20" t="s">
        <v>343</v>
      </c>
      <c r="K20" t="s">
        <v>332</v>
      </c>
      <c r="L20" t="s">
        <v>632</v>
      </c>
    </row>
    <row r="21" spans="1:12" x14ac:dyDescent="0.25">
      <c r="A21" t="s">
        <v>221</v>
      </c>
      <c r="B21" t="s">
        <v>235</v>
      </c>
      <c r="C21" t="s">
        <v>83</v>
      </c>
      <c r="D21" t="s">
        <v>251</v>
      </c>
      <c r="E21" t="s">
        <v>208</v>
      </c>
      <c r="F21" t="s">
        <v>239</v>
      </c>
      <c r="G21" t="s">
        <v>246</v>
      </c>
      <c r="H21" t="s">
        <v>239</v>
      </c>
      <c r="I21" t="s">
        <v>269</v>
      </c>
      <c r="J21" t="s">
        <v>343</v>
      </c>
      <c r="K21" t="s">
        <v>330</v>
      </c>
      <c r="L21" t="s">
        <v>626</v>
      </c>
    </row>
    <row r="22" spans="1:12" x14ac:dyDescent="0.25">
      <c r="A22" t="s">
        <v>222</v>
      </c>
      <c r="B22" t="s">
        <v>235</v>
      </c>
      <c r="C22" t="s">
        <v>83</v>
      </c>
      <c r="D22" t="s">
        <v>251</v>
      </c>
      <c r="E22" t="s">
        <v>249</v>
      </c>
      <c r="F22" t="s">
        <v>230</v>
      </c>
      <c r="G22" t="s">
        <v>248</v>
      </c>
      <c r="H22" t="s">
        <v>230</v>
      </c>
      <c r="I22" t="s">
        <v>265</v>
      </c>
      <c r="J22" t="s">
        <v>343</v>
      </c>
      <c r="K22" t="s">
        <v>336</v>
      </c>
      <c r="L22" t="s">
        <v>630</v>
      </c>
    </row>
    <row r="23" spans="1:12" x14ac:dyDescent="0.25">
      <c r="A23" t="s">
        <v>229</v>
      </c>
      <c r="B23" t="s">
        <v>235</v>
      </c>
      <c r="C23" t="s">
        <v>83</v>
      </c>
      <c r="D23" t="s">
        <v>251</v>
      </c>
      <c r="E23" t="s">
        <v>255</v>
      </c>
      <c r="F23" t="s">
        <v>62</v>
      </c>
      <c r="G23" t="s">
        <v>256</v>
      </c>
      <c r="H23" t="s">
        <v>62</v>
      </c>
      <c r="I23" t="s">
        <v>267</v>
      </c>
      <c r="J23" t="s">
        <v>343</v>
      </c>
      <c r="K23" t="s">
        <v>337</v>
      </c>
      <c r="L23" t="s">
        <v>631</v>
      </c>
    </row>
    <row r="24" spans="1:12" x14ac:dyDescent="0.25">
      <c r="A24" t="s">
        <v>211</v>
      </c>
      <c r="B24" t="s">
        <v>236</v>
      </c>
      <c r="C24" t="s">
        <v>82</v>
      </c>
      <c r="D24" t="s">
        <v>70</v>
      </c>
      <c r="E24" t="s">
        <v>203</v>
      </c>
      <c r="F24" t="s">
        <v>230</v>
      </c>
      <c r="G24" t="s">
        <v>210</v>
      </c>
      <c r="H24" t="s">
        <v>230</v>
      </c>
      <c r="I24" t="s">
        <v>265</v>
      </c>
      <c r="J24" t="s">
        <v>343</v>
      </c>
      <c r="K24" t="s">
        <v>331</v>
      </c>
      <c r="L24" t="s">
        <v>637</v>
      </c>
    </row>
    <row r="25" spans="1:12" x14ac:dyDescent="0.25">
      <c r="A25" t="s">
        <v>216</v>
      </c>
      <c r="B25" t="s">
        <v>236</v>
      </c>
      <c r="C25" t="s">
        <v>82</v>
      </c>
      <c r="D25" t="s">
        <v>70</v>
      </c>
      <c r="E25" t="s">
        <v>203</v>
      </c>
      <c r="F25" t="s">
        <v>204</v>
      </c>
      <c r="G25" t="s">
        <v>205</v>
      </c>
      <c r="H25" t="s">
        <v>204</v>
      </c>
      <c r="I25" t="s">
        <v>265</v>
      </c>
      <c r="J25" t="s">
        <v>343</v>
      </c>
      <c r="K25" t="s">
        <v>338</v>
      </c>
      <c r="L25" t="s">
        <v>627</v>
      </c>
    </row>
    <row r="26" spans="1:12" x14ac:dyDescent="0.25">
      <c r="A26" t="s">
        <v>228</v>
      </c>
      <c r="B26" t="s">
        <v>236</v>
      </c>
      <c r="C26" t="s">
        <v>82</v>
      </c>
      <c r="D26" t="s">
        <v>70</v>
      </c>
      <c r="E26" t="s">
        <v>257</v>
      </c>
      <c r="F26" t="s">
        <v>31</v>
      </c>
      <c r="G26" t="s">
        <v>256</v>
      </c>
      <c r="H26" t="s">
        <v>250</v>
      </c>
      <c r="I26" t="s">
        <v>266</v>
      </c>
      <c r="J26" t="s">
        <v>343</v>
      </c>
      <c r="K26" t="s">
        <v>330</v>
      </c>
      <c r="L26" t="s">
        <v>626</v>
      </c>
    </row>
    <row r="27" spans="1:12" x14ac:dyDescent="0.25">
      <c r="A27" t="s">
        <v>358</v>
      </c>
      <c r="B27" t="s">
        <v>236</v>
      </c>
      <c r="C27" t="s">
        <v>82</v>
      </c>
      <c r="D27" t="s">
        <v>70</v>
      </c>
      <c r="E27" t="s">
        <v>351</v>
      </c>
      <c r="F27" t="s">
        <v>61</v>
      </c>
      <c r="G27" t="s">
        <v>87</v>
      </c>
      <c r="H27" t="s">
        <v>61</v>
      </c>
      <c r="I27" t="s">
        <v>391</v>
      </c>
      <c r="J27" t="s">
        <v>343</v>
      </c>
      <c r="K27" t="s">
        <v>394</v>
      </c>
      <c r="L27" t="s">
        <v>634</v>
      </c>
    </row>
    <row r="28" spans="1:12" x14ac:dyDescent="0.25">
      <c r="A28" t="s">
        <v>212</v>
      </c>
      <c r="B28" t="s">
        <v>237</v>
      </c>
      <c r="C28" t="s">
        <v>231</v>
      </c>
      <c r="D28" t="s">
        <v>252</v>
      </c>
      <c r="E28" t="s">
        <v>258</v>
      </c>
      <c r="F28" t="s">
        <v>250</v>
      </c>
      <c r="G28" t="s">
        <v>210</v>
      </c>
      <c r="H28" t="s">
        <v>250</v>
      </c>
      <c r="I28" t="s">
        <v>264</v>
      </c>
      <c r="J28" t="s">
        <v>343</v>
      </c>
      <c r="K28" t="s">
        <v>333</v>
      </c>
      <c r="L28" t="s">
        <v>635</v>
      </c>
    </row>
    <row r="29" spans="1:12" x14ac:dyDescent="0.25">
      <c r="A29" t="s">
        <v>213</v>
      </c>
      <c r="B29" t="s">
        <v>237</v>
      </c>
      <c r="C29" t="s">
        <v>231</v>
      </c>
      <c r="D29" t="s">
        <v>252</v>
      </c>
      <c r="E29" t="s">
        <v>259</v>
      </c>
      <c r="F29" t="s">
        <v>243</v>
      </c>
      <c r="G29" t="s">
        <v>246</v>
      </c>
      <c r="H29" t="s">
        <v>243</v>
      </c>
      <c r="I29" t="s">
        <v>266</v>
      </c>
      <c r="J29" t="s">
        <v>343</v>
      </c>
      <c r="K29" t="s">
        <v>331</v>
      </c>
      <c r="L29" t="s">
        <v>637</v>
      </c>
    </row>
    <row r="30" spans="1:12" x14ac:dyDescent="0.25">
      <c r="A30" t="s">
        <v>215</v>
      </c>
      <c r="B30" t="s">
        <v>237</v>
      </c>
      <c r="C30" t="s">
        <v>231</v>
      </c>
      <c r="D30" t="s">
        <v>252</v>
      </c>
      <c r="E30" t="s">
        <v>240</v>
      </c>
      <c r="F30" t="s">
        <v>230</v>
      </c>
      <c r="G30" t="s">
        <v>205</v>
      </c>
      <c r="H30" t="s">
        <v>230</v>
      </c>
      <c r="I30" t="s">
        <v>269</v>
      </c>
      <c r="J30" t="s">
        <v>343</v>
      </c>
      <c r="K30" t="s">
        <v>339</v>
      </c>
      <c r="L30" t="s">
        <v>631</v>
      </c>
    </row>
    <row r="31" spans="1:12" x14ac:dyDescent="0.25">
      <c r="A31" t="s">
        <v>224</v>
      </c>
      <c r="B31" t="s">
        <v>237</v>
      </c>
      <c r="C31" t="s">
        <v>231</v>
      </c>
      <c r="D31" t="s">
        <v>470</v>
      </c>
      <c r="E31" t="s">
        <v>260</v>
      </c>
      <c r="F31" t="s">
        <v>28</v>
      </c>
      <c r="G31" t="s">
        <v>248</v>
      </c>
      <c r="H31" t="s">
        <v>28</v>
      </c>
      <c r="I31" t="s">
        <v>396</v>
      </c>
      <c r="J31" t="s">
        <v>343</v>
      </c>
      <c r="K31" t="s">
        <v>329</v>
      </c>
      <c r="L31" t="s">
        <v>629</v>
      </c>
    </row>
    <row r="32" spans="1:12" x14ac:dyDescent="0.25">
      <c r="A32" t="s">
        <v>541</v>
      </c>
      <c r="B32" t="s">
        <v>237</v>
      </c>
      <c r="C32" t="s">
        <v>84</v>
      </c>
      <c r="D32" t="s">
        <v>532</v>
      </c>
      <c r="E32" t="s">
        <v>533</v>
      </c>
      <c r="F32" t="s">
        <v>62</v>
      </c>
      <c r="G32" t="s">
        <v>91</v>
      </c>
      <c r="H32" t="s">
        <v>62</v>
      </c>
      <c r="I32" t="s">
        <v>523</v>
      </c>
      <c r="J32" t="s">
        <v>343</v>
      </c>
      <c r="K32" t="s">
        <v>332</v>
      </c>
      <c r="L32" t="s">
        <v>638</v>
      </c>
    </row>
    <row r="33" spans="1:12" x14ac:dyDescent="0.25">
      <c r="A33" t="s">
        <v>538</v>
      </c>
      <c r="B33" t="s">
        <v>237</v>
      </c>
      <c r="C33" t="s">
        <v>84</v>
      </c>
      <c r="D33" t="s">
        <v>532</v>
      </c>
      <c r="E33" t="s">
        <v>539</v>
      </c>
      <c r="F33" t="s">
        <v>75</v>
      </c>
      <c r="G33" t="s">
        <v>540</v>
      </c>
      <c r="H33" t="s">
        <v>75</v>
      </c>
      <c r="I33" t="s">
        <v>523</v>
      </c>
      <c r="J33" t="s">
        <v>343</v>
      </c>
      <c r="K33" t="s">
        <v>332</v>
      </c>
      <c r="L33" t="s">
        <v>632</v>
      </c>
    </row>
    <row r="34" spans="1:12" x14ac:dyDescent="0.25">
      <c r="A34" t="s">
        <v>390</v>
      </c>
      <c r="B34" t="s">
        <v>238</v>
      </c>
      <c r="C34" t="s">
        <v>261</v>
      </c>
      <c r="D34" t="s">
        <v>262</v>
      </c>
      <c r="E34" t="s">
        <v>254</v>
      </c>
      <c r="F34" t="s">
        <v>243</v>
      </c>
      <c r="G34" t="s">
        <v>210</v>
      </c>
      <c r="H34" t="s">
        <v>243</v>
      </c>
      <c r="I34" t="s">
        <v>268</v>
      </c>
      <c r="J34" t="s">
        <v>343</v>
      </c>
      <c r="K34" t="s">
        <v>340</v>
      </c>
      <c r="L34" t="s">
        <v>628</v>
      </c>
    </row>
    <row r="35" spans="1:12" x14ac:dyDescent="0.25">
      <c r="A35" t="s">
        <v>225</v>
      </c>
      <c r="B35" t="s">
        <v>238</v>
      </c>
      <c r="C35" t="s">
        <v>261</v>
      </c>
      <c r="D35" t="s">
        <v>262</v>
      </c>
      <c r="E35" t="s">
        <v>263</v>
      </c>
      <c r="F35" t="s">
        <v>209</v>
      </c>
      <c r="G35" t="s">
        <v>248</v>
      </c>
      <c r="H35" t="s">
        <v>209</v>
      </c>
      <c r="I35" t="s">
        <v>269</v>
      </c>
      <c r="J35" t="s">
        <v>343</v>
      </c>
      <c r="K35" t="s">
        <v>341</v>
      </c>
      <c r="L35" t="s">
        <v>631</v>
      </c>
    </row>
    <row r="36" spans="1:12" x14ac:dyDescent="0.25">
      <c r="A36" t="s">
        <v>359</v>
      </c>
      <c r="B36" t="s">
        <v>238</v>
      </c>
      <c r="C36" t="s">
        <v>261</v>
      </c>
      <c r="D36" t="s">
        <v>262</v>
      </c>
      <c r="E36" t="s">
        <v>249</v>
      </c>
      <c r="F36" t="s">
        <v>243</v>
      </c>
      <c r="G36" t="s">
        <v>256</v>
      </c>
      <c r="H36" t="s">
        <v>243</v>
      </c>
      <c r="I36" t="s">
        <v>403</v>
      </c>
      <c r="J36" t="s">
        <v>343</v>
      </c>
      <c r="K36" t="s">
        <v>341</v>
      </c>
      <c r="L36" t="s">
        <v>634</v>
      </c>
    </row>
    <row r="37" spans="1:12" x14ac:dyDescent="0.25">
      <c r="A37" t="s">
        <v>408</v>
      </c>
      <c r="B37" t="s">
        <v>238</v>
      </c>
      <c r="C37" t="s">
        <v>86</v>
      </c>
      <c r="D37" t="s">
        <v>69</v>
      </c>
      <c r="E37" t="s">
        <v>259</v>
      </c>
      <c r="F37" t="s">
        <v>35</v>
      </c>
      <c r="G37" t="s">
        <v>89</v>
      </c>
      <c r="H37" t="s">
        <v>35</v>
      </c>
      <c r="I37" t="s">
        <v>403</v>
      </c>
      <c r="J37" t="s">
        <v>343</v>
      </c>
      <c r="K37" t="s">
        <v>341</v>
      </c>
      <c r="L37" t="s">
        <v>634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97783-78FE-400F-8B59-54A59B8A07AD}">
  <sheetPr codeName="Sheet9"/>
  <dimension ref="A1:H106"/>
  <sheetViews>
    <sheetView workbookViewId="0">
      <pane ySplit="1" topLeftCell="A2" activePane="bottomLeft" state="frozen"/>
      <selection pane="bottomLeft" activeCell="D8" sqref="D8"/>
    </sheetView>
  </sheetViews>
  <sheetFormatPr defaultRowHeight="13.8" x14ac:dyDescent="0.25"/>
  <cols>
    <col min="1" max="1" width="10" customWidth="1"/>
    <col min="2" max="2" width="13.33203125" customWidth="1"/>
    <col min="3" max="8" width="10" customWidth="1"/>
  </cols>
  <sheetData>
    <row r="1" spans="1:8" x14ac:dyDescent="0.25">
      <c r="A1" t="s">
        <v>323</v>
      </c>
      <c r="B1" t="s">
        <v>26</v>
      </c>
      <c r="C1" t="s">
        <v>281</v>
      </c>
      <c r="D1" t="s">
        <v>320</v>
      </c>
      <c r="E1" t="s">
        <v>321</v>
      </c>
      <c r="F1" t="s">
        <v>322</v>
      </c>
      <c r="H1" t="s">
        <v>368</v>
      </c>
    </row>
    <row r="2" spans="1:8" x14ac:dyDescent="0.25">
      <c r="A2" t="s">
        <v>324</v>
      </c>
      <c r="B2" t="s">
        <v>271</v>
      </c>
      <c r="C2">
        <v>5</v>
      </c>
      <c r="D2" t="s">
        <v>93</v>
      </c>
      <c r="E2" t="s">
        <v>42</v>
      </c>
      <c r="F2" t="s">
        <v>38</v>
      </c>
      <c r="H2" t="s">
        <v>374</v>
      </c>
    </row>
    <row r="3" spans="1:8" x14ac:dyDescent="0.25">
      <c r="A3" t="s">
        <v>324</v>
      </c>
      <c r="B3" t="s">
        <v>272</v>
      </c>
      <c r="C3">
        <v>5</v>
      </c>
      <c r="D3" t="s">
        <v>98</v>
      </c>
      <c r="E3" t="s">
        <v>46</v>
      </c>
      <c r="F3" t="s">
        <v>28</v>
      </c>
      <c r="H3" t="s">
        <v>578</v>
      </c>
    </row>
    <row r="4" spans="1:8" x14ac:dyDescent="0.25">
      <c r="A4" t="s">
        <v>430</v>
      </c>
      <c r="B4" t="s">
        <v>431</v>
      </c>
      <c r="C4">
        <v>5</v>
      </c>
      <c r="D4" t="s">
        <v>432</v>
      </c>
      <c r="E4" t="s">
        <v>60</v>
      </c>
      <c r="F4" t="s">
        <v>31</v>
      </c>
    </row>
    <row r="5" spans="1:8" x14ac:dyDescent="0.25">
      <c r="A5" t="s">
        <v>324</v>
      </c>
      <c r="B5" t="s">
        <v>467</v>
      </c>
      <c r="C5">
        <v>5</v>
      </c>
      <c r="D5" t="s">
        <v>113</v>
      </c>
      <c r="E5" t="s">
        <v>54</v>
      </c>
      <c r="F5" t="s">
        <v>62</v>
      </c>
    </row>
    <row r="6" spans="1:8" x14ac:dyDescent="0.25">
      <c r="A6" t="s">
        <v>324</v>
      </c>
      <c r="B6" t="s">
        <v>548</v>
      </c>
      <c r="C6">
        <v>5</v>
      </c>
      <c r="D6" t="s">
        <v>103</v>
      </c>
      <c r="E6" t="s">
        <v>50</v>
      </c>
      <c r="F6" t="s">
        <v>35</v>
      </c>
    </row>
    <row r="7" spans="1:8" x14ac:dyDescent="0.25">
      <c r="A7" t="s">
        <v>324</v>
      </c>
      <c r="B7" t="s">
        <v>549</v>
      </c>
      <c r="C7">
        <v>5</v>
      </c>
      <c r="D7" t="s">
        <v>712</v>
      </c>
      <c r="E7" t="s">
        <v>544</v>
      </c>
      <c r="F7" t="s">
        <v>528</v>
      </c>
    </row>
    <row r="8" spans="1:8" x14ac:dyDescent="0.25">
      <c r="A8" t="s">
        <v>324</v>
      </c>
      <c r="B8" t="s">
        <v>542</v>
      </c>
      <c r="C8">
        <v>4</v>
      </c>
      <c r="D8" t="s">
        <v>712</v>
      </c>
      <c r="E8" t="s">
        <v>544</v>
      </c>
      <c r="F8" t="s">
        <v>528</v>
      </c>
    </row>
    <row r="9" spans="1:8" x14ac:dyDescent="0.25">
      <c r="A9" t="s">
        <v>324</v>
      </c>
      <c r="B9" t="s">
        <v>273</v>
      </c>
      <c r="C9">
        <v>4</v>
      </c>
      <c r="D9" t="s">
        <v>108</v>
      </c>
      <c r="E9" t="s">
        <v>60</v>
      </c>
      <c r="F9" t="s">
        <v>62</v>
      </c>
    </row>
    <row r="10" spans="1:8" x14ac:dyDescent="0.25">
      <c r="A10" t="s">
        <v>324</v>
      </c>
      <c r="B10" t="s">
        <v>274</v>
      </c>
      <c r="C10">
        <v>4</v>
      </c>
      <c r="D10" t="s">
        <v>93</v>
      </c>
      <c r="E10" t="s">
        <v>42</v>
      </c>
      <c r="F10" t="s">
        <v>38</v>
      </c>
    </row>
    <row r="11" spans="1:8" x14ac:dyDescent="0.25">
      <c r="A11" t="s">
        <v>324</v>
      </c>
      <c r="B11" t="s">
        <v>275</v>
      </c>
      <c r="C11">
        <v>4</v>
      </c>
      <c r="D11" t="s">
        <v>98</v>
      </c>
      <c r="E11" t="s">
        <v>46</v>
      </c>
      <c r="F11" t="s">
        <v>28</v>
      </c>
    </row>
    <row r="12" spans="1:8" x14ac:dyDescent="0.25">
      <c r="A12" t="s">
        <v>324</v>
      </c>
      <c r="B12" t="s">
        <v>276</v>
      </c>
      <c r="C12">
        <v>4</v>
      </c>
      <c r="D12" t="s">
        <v>98</v>
      </c>
      <c r="E12" t="s">
        <v>46</v>
      </c>
      <c r="F12" t="s">
        <v>28</v>
      </c>
    </row>
    <row r="13" spans="1:8" x14ac:dyDescent="0.25">
      <c r="A13" t="s">
        <v>324</v>
      </c>
      <c r="B13" t="s">
        <v>277</v>
      </c>
      <c r="C13">
        <v>4</v>
      </c>
      <c r="D13" t="s">
        <v>103</v>
      </c>
      <c r="E13" t="s">
        <v>50</v>
      </c>
      <c r="F13" t="s">
        <v>35</v>
      </c>
    </row>
    <row r="14" spans="1:8" x14ac:dyDescent="0.25">
      <c r="A14" t="s">
        <v>324</v>
      </c>
      <c r="B14" t="s">
        <v>278</v>
      </c>
      <c r="C14">
        <v>4</v>
      </c>
      <c r="D14" t="s">
        <v>118</v>
      </c>
      <c r="E14" t="s">
        <v>78</v>
      </c>
      <c r="F14" t="s">
        <v>75</v>
      </c>
    </row>
    <row r="15" spans="1:8" x14ac:dyDescent="0.25">
      <c r="A15" t="s">
        <v>324</v>
      </c>
      <c r="B15" t="s">
        <v>279</v>
      </c>
      <c r="C15">
        <v>4</v>
      </c>
      <c r="D15" t="s">
        <v>113</v>
      </c>
      <c r="E15" t="s">
        <v>54</v>
      </c>
      <c r="F15" t="s">
        <v>61</v>
      </c>
    </row>
    <row r="16" spans="1:8" x14ac:dyDescent="0.25">
      <c r="A16" t="s">
        <v>324</v>
      </c>
      <c r="B16" t="s">
        <v>280</v>
      </c>
      <c r="C16">
        <v>4</v>
      </c>
      <c r="D16" t="s">
        <v>93</v>
      </c>
      <c r="E16" t="s">
        <v>42</v>
      </c>
      <c r="F16" t="s">
        <v>31</v>
      </c>
    </row>
    <row r="17" spans="1:6" x14ac:dyDescent="0.25">
      <c r="A17" t="s">
        <v>324</v>
      </c>
      <c r="B17" t="s">
        <v>397</v>
      </c>
      <c r="C17">
        <v>4</v>
      </c>
      <c r="D17" t="s">
        <v>108</v>
      </c>
      <c r="E17" t="s">
        <v>60</v>
      </c>
      <c r="F17" t="s">
        <v>38</v>
      </c>
    </row>
    <row r="18" spans="1:6" x14ac:dyDescent="0.25">
      <c r="A18" t="s">
        <v>430</v>
      </c>
      <c r="B18" t="s">
        <v>433</v>
      </c>
      <c r="C18">
        <v>4</v>
      </c>
      <c r="D18" t="s">
        <v>103</v>
      </c>
      <c r="E18" t="s">
        <v>42</v>
      </c>
      <c r="F18" t="s">
        <v>61</v>
      </c>
    </row>
    <row r="19" spans="1:6" x14ac:dyDescent="0.25">
      <c r="A19" t="s">
        <v>324</v>
      </c>
      <c r="B19" t="s">
        <v>474</v>
      </c>
      <c r="C19">
        <v>4</v>
      </c>
      <c r="D19" t="s">
        <v>93</v>
      </c>
      <c r="E19" t="s">
        <v>42</v>
      </c>
      <c r="F19" t="s">
        <v>35</v>
      </c>
    </row>
    <row r="20" spans="1:6" x14ac:dyDescent="0.25">
      <c r="A20" t="s">
        <v>430</v>
      </c>
      <c r="B20" t="s">
        <v>435</v>
      </c>
      <c r="C20">
        <v>3</v>
      </c>
      <c r="D20" t="s">
        <v>103</v>
      </c>
      <c r="E20" t="s">
        <v>50</v>
      </c>
      <c r="F20" t="s">
        <v>35</v>
      </c>
    </row>
    <row r="21" spans="1:6" x14ac:dyDescent="0.25">
      <c r="A21" t="s">
        <v>430</v>
      </c>
      <c r="B21" t="s">
        <v>434</v>
      </c>
      <c r="C21">
        <v>3</v>
      </c>
      <c r="D21" t="s">
        <v>98</v>
      </c>
      <c r="E21" t="s">
        <v>46</v>
      </c>
      <c r="F21" t="s">
        <v>28</v>
      </c>
    </row>
    <row r="22" spans="1:6" x14ac:dyDescent="0.25">
      <c r="A22" t="s">
        <v>430</v>
      </c>
      <c r="B22" t="s">
        <v>436</v>
      </c>
      <c r="C22">
        <v>3</v>
      </c>
      <c r="D22" t="s">
        <v>108</v>
      </c>
      <c r="E22" t="s">
        <v>60</v>
      </c>
      <c r="F22" t="s">
        <v>31</v>
      </c>
    </row>
    <row r="23" spans="1:6" x14ac:dyDescent="0.25">
      <c r="A23" t="s">
        <v>430</v>
      </c>
      <c r="B23" t="s">
        <v>437</v>
      </c>
      <c r="C23">
        <v>3</v>
      </c>
      <c r="D23" t="s">
        <v>113</v>
      </c>
      <c r="E23" t="s">
        <v>54</v>
      </c>
      <c r="F23" t="s">
        <v>62</v>
      </c>
    </row>
    <row r="24" spans="1:6" x14ac:dyDescent="0.25">
      <c r="A24" t="s">
        <v>430</v>
      </c>
      <c r="B24" t="s">
        <v>438</v>
      </c>
      <c r="C24">
        <v>3</v>
      </c>
      <c r="D24" t="s">
        <v>118</v>
      </c>
      <c r="E24" t="s">
        <v>78</v>
      </c>
      <c r="F24" t="s">
        <v>61</v>
      </c>
    </row>
    <row r="25" spans="1:6" x14ac:dyDescent="0.25">
      <c r="A25" t="s">
        <v>430</v>
      </c>
      <c r="B25" t="s">
        <v>439</v>
      </c>
      <c r="C25">
        <v>3</v>
      </c>
      <c r="D25" t="s">
        <v>93</v>
      </c>
      <c r="E25" t="s">
        <v>42</v>
      </c>
      <c r="F25" t="s">
        <v>38</v>
      </c>
    </row>
    <row r="26" spans="1:6" x14ac:dyDescent="0.25">
      <c r="A26" t="s">
        <v>325</v>
      </c>
      <c r="B26" t="s">
        <v>282</v>
      </c>
      <c r="C26">
        <v>5</v>
      </c>
      <c r="D26" t="s">
        <v>103</v>
      </c>
      <c r="E26" t="s">
        <v>50</v>
      </c>
      <c r="F26" t="s">
        <v>35</v>
      </c>
    </row>
    <row r="27" spans="1:6" x14ac:dyDescent="0.25">
      <c r="A27" t="s">
        <v>325</v>
      </c>
      <c r="B27" t="s">
        <v>283</v>
      </c>
      <c r="C27">
        <v>5</v>
      </c>
      <c r="D27" t="s">
        <v>98</v>
      </c>
      <c r="E27" t="s">
        <v>46</v>
      </c>
      <c r="F27" t="s">
        <v>28</v>
      </c>
    </row>
    <row r="28" spans="1:6" x14ac:dyDescent="0.25">
      <c r="A28" t="s">
        <v>325</v>
      </c>
      <c r="B28" t="s">
        <v>440</v>
      </c>
      <c r="C28">
        <v>5</v>
      </c>
      <c r="D28" t="s">
        <v>113</v>
      </c>
      <c r="E28" t="s">
        <v>450</v>
      </c>
      <c r="F28" t="s">
        <v>62</v>
      </c>
    </row>
    <row r="29" spans="1:6" x14ac:dyDescent="0.25">
      <c r="A29" t="s">
        <v>325</v>
      </c>
      <c r="B29" t="s">
        <v>550</v>
      </c>
      <c r="C29">
        <v>5</v>
      </c>
      <c r="D29" t="s">
        <v>93</v>
      </c>
      <c r="E29" t="s">
        <v>42</v>
      </c>
      <c r="F29" t="s">
        <v>31</v>
      </c>
    </row>
    <row r="30" spans="1:6" x14ac:dyDescent="0.25">
      <c r="A30" t="s">
        <v>325</v>
      </c>
      <c r="B30" t="s">
        <v>551</v>
      </c>
      <c r="C30">
        <v>4</v>
      </c>
      <c r="D30" t="s">
        <v>552</v>
      </c>
      <c r="E30" t="s">
        <v>558</v>
      </c>
      <c r="F30" t="s">
        <v>528</v>
      </c>
    </row>
    <row r="31" spans="1:6" x14ac:dyDescent="0.25">
      <c r="A31" t="s">
        <v>325</v>
      </c>
      <c r="B31" t="s">
        <v>284</v>
      </c>
      <c r="C31">
        <v>4</v>
      </c>
      <c r="D31" t="s">
        <v>118</v>
      </c>
      <c r="E31" t="s">
        <v>78</v>
      </c>
      <c r="F31" t="s">
        <v>31</v>
      </c>
    </row>
    <row r="32" spans="1:6" x14ac:dyDescent="0.25">
      <c r="A32" t="s">
        <v>325</v>
      </c>
      <c r="B32" t="s">
        <v>285</v>
      </c>
      <c r="C32">
        <v>4</v>
      </c>
      <c r="D32" t="s">
        <v>103</v>
      </c>
      <c r="E32" t="s">
        <v>50</v>
      </c>
      <c r="F32" t="s">
        <v>28</v>
      </c>
    </row>
    <row r="33" spans="1:6" x14ac:dyDescent="0.25">
      <c r="A33" t="s">
        <v>325</v>
      </c>
      <c r="B33" t="s">
        <v>286</v>
      </c>
      <c r="C33">
        <v>4</v>
      </c>
      <c r="D33" t="s">
        <v>118</v>
      </c>
      <c r="E33" t="s">
        <v>78</v>
      </c>
      <c r="F33" t="s">
        <v>75</v>
      </c>
    </row>
    <row r="34" spans="1:6" x14ac:dyDescent="0.25">
      <c r="A34" t="s">
        <v>325</v>
      </c>
      <c r="B34" t="s">
        <v>287</v>
      </c>
      <c r="C34">
        <v>4</v>
      </c>
      <c r="D34" t="s">
        <v>108</v>
      </c>
      <c r="E34" t="s">
        <v>60</v>
      </c>
      <c r="F34" t="s">
        <v>62</v>
      </c>
    </row>
    <row r="35" spans="1:6" x14ac:dyDescent="0.25">
      <c r="A35" t="s">
        <v>325</v>
      </c>
      <c r="B35" t="s">
        <v>288</v>
      </c>
      <c r="C35">
        <v>4</v>
      </c>
      <c r="D35" t="s">
        <v>103</v>
      </c>
      <c r="E35" t="s">
        <v>50</v>
      </c>
      <c r="F35" t="s">
        <v>61</v>
      </c>
    </row>
    <row r="36" spans="1:6" x14ac:dyDescent="0.25">
      <c r="A36" t="s">
        <v>325</v>
      </c>
      <c r="B36" t="s">
        <v>289</v>
      </c>
      <c r="C36">
        <v>4</v>
      </c>
      <c r="D36" t="s">
        <v>113</v>
      </c>
      <c r="E36" t="s">
        <v>54</v>
      </c>
      <c r="F36" t="s">
        <v>35</v>
      </c>
    </row>
    <row r="37" spans="1:6" x14ac:dyDescent="0.25">
      <c r="A37" t="s">
        <v>325</v>
      </c>
      <c r="B37" t="s">
        <v>290</v>
      </c>
      <c r="C37">
        <v>4</v>
      </c>
      <c r="D37" t="s">
        <v>98</v>
      </c>
      <c r="E37" t="s">
        <v>46</v>
      </c>
      <c r="F37" t="s">
        <v>38</v>
      </c>
    </row>
    <row r="38" spans="1:6" x14ac:dyDescent="0.25">
      <c r="A38" t="s">
        <v>325</v>
      </c>
      <c r="B38" t="s">
        <v>291</v>
      </c>
      <c r="C38">
        <v>4</v>
      </c>
      <c r="D38" t="s">
        <v>93</v>
      </c>
      <c r="E38" t="s">
        <v>42</v>
      </c>
      <c r="F38" t="s">
        <v>75</v>
      </c>
    </row>
    <row r="39" spans="1:6" x14ac:dyDescent="0.25">
      <c r="A39" t="s">
        <v>325</v>
      </c>
      <c r="B39" t="s">
        <v>398</v>
      </c>
      <c r="C39">
        <v>4</v>
      </c>
      <c r="D39" t="s">
        <v>113</v>
      </c>
      <c r="E39" t="s">
        <v>450</v>
      </c>
      <c r="F39" t="s">
        <v>61</v>
      </c>
    </row>
    <row r="40" spans="1:6" x14ac:dyDescent="0.25">
      <c r="A40" t="s">
        <v>325</v>
      </c>
      <c r="B40" t="s">
        <v>441</v>
      </c>
      <c r="C40">
        <v>4</v>
      </c>
      <c r="D40" t="s">
        <v>93</v>
      </c>
      <c r="E40" t="s">
        <v>42</v>
      </c>
      <c r="F40" t="s">
        <v>28</v>
      </c>
    </row>
    <row r="41" spans="1:6" x14ac:dyDescent="0.25">
      <c r="A41" t="s">
        <v>325</v>
      </c>
      <c r="B41" t="s">
        <v>472</v>
      </c>
      <c r="C41">
        <v>4</v>
      </c>
      <c r="D41" t="s">
        <v>108</v>
      </c>
      <c r="E41" t="s">
        <v>60</v>
      </c>
      <c r="F41" t="s">
        <v>38</v>
      </c>
    </row>
    <row r="42" spans="1:6" x14ac:dyDescent="0.25">
      <c r="A42" t="s">
        <v>325</v>
      </c>
      <c r="B42" t="s">
        <v>442</v>
      </c>
      <c r="C42">
        <v>3</v>
      </c>
      <c r="D42" t="s">
        <v>98</v>
      </c>
      <c r="E42" t="s">
        <v>46</v>
      </c>
      <c r="F42" t="s">
        <v>38</v>
      </c>
    </row>
    <row r="43" spans="1:6" x14ac:dyDescent="0.25">
      <c r="A43" t="s">
        <v>325</v>
      </c>
      <c r="B43" t="s">
        <v>443</v>
      </c>
      <c r="C43">
        <v>3</v>
      </c>
      <c r="D43" t="s">
        <v>103</v>
      </c>
      <c r="E43" t="s">
        <v>50</v>
      </c>
      <c r="F43" t="s">
        <v>28</v>
      </c>
    </row>
    <row r="44" spans="1:6" x14ac:dyDescent="0.25">
      <c r="A44" t="s">
        <v>325</v>
      </c>
      <c r="B44" t="s">
        <v>444</v>
      </c>
      <c r="C44">
        <v>3</v>
      </c>
      <c r="D44" t="s">
        <v>113</v>
      </c>
      <c r="E44" t="s">
        <v>450</v>
      </c>
      <c r="F44" t="s">
        <v>31</v>
      </c>
    </row>
    <row r="45" spans="1:6" x14ac:dyDescent="0.25">
      <c r="A45" t="s">
        <v>325</v>
      </c>
      <c r="B45" t="s">
        <v>445</v>
      </c>
      <c r="C45">
        <v>3</v>
      </c>
      <c r="D45" t="s">
        <v>118</v>
      </c>
      <c r="E45" t="s">
        <v>78</v>
      </c>
      <c r="F45" t="s">
        <v>62</v>
      </c>
    </row>
    <row r="46" spans="1:6" x14ac:dyDescent="0.25">
      <c r="A46" t="s">
        <v>325</v>
      </c>
      <c r="B46" t="s">
        <v>446</v>
      </c>
      <c r="C46">
        <v>3</v>
      </c>
      <c r="D46" t="s">
        <v>93</v>
      </c>
      <c r="E46" t="s">
        <v>42</v>
      </c>
      <c r="F46" t="s">
        <v>75</v>
      </c>
    </row>
    <row r="47" spans="1:6" x14ac:dyDescent="0.25">
      <c r="A47" t="s">
        <v>327</v>
      </c>
      <c r="B47" t="s">
        <v>292</v>
      </c>
      <c r="C47">
        <v>5</v>
      </c>
      <c r="D47" t="s">
        <v>108</v>
      </c>
      <c r="E47" t="s">
        <v>60</v>
      </c>
      <c r="F47" t="s">
        <v>61</v>
      </c>
    </row>
    <row r="48" spans="1:6" x14ac:dyDescent="0.25">
      <c r="A48" t="s">
        <v>327</v>
      </c>
      <c r="B48" t="s">
        <v>293</v>
      </c>
      <c r="C48">
        <v>5</v>
      </c>
      <c r="D48" t="s">
        <v>103</v>
      </c>
      <c r="E48" t="s">
        <v>50</v>
      </c>
      <c r="F48" t="s">
        <v>35</v>
      </c>
    </row>
    <row r="49" spans="1:6" x14ac:dyDescent="0.25">
      <c r="A49" t="s">
        <v>327</v>
      </c>
      <c r="B49" t="s">
        <v>447</v>
      </c>
      <c r="C49">
        <v>5</v>
      </c>
      <c r="D49" t="s">
        <v>118</v>
      </c>
      <c r="E49" t="s">
        <v>78</v>
      </c>
      <c r="F49" t="s">
        <v>62</v>
      </c>
    </row>
    <row r="50" spans="1:6" x14ac:dyDescent="0.25">
      <c r="A50" t="s">
        <v>327</v>
      </c>
      <c r="B50" t="s">
        <v>468</v>
      </c>
      <c r="C50">
        <v>5</v>
      </c>
      <c r="D50" t="s">
        <v>118</v>
      </c>
      <c r="E50" t="s">
        <v>46</v>
      </c>
      <c r="F50" t="s">
        <v>28</v>
      </c>
    </row>
    <row r="51" spans="1:6" x14ac:dyDescent="0.25">
      <c r="A51" t="s">
        <v>327</v>
      </c>
      <c r="B51" t="s">
        <v>561</v>
      </c>
      <c r="C51">
        <v>4</v>
      </c>
      <c r="D51" t="s">
        <v>562</v>
      </c>
      <c r="E51" t="s">
        <v>544</v>
      </c>
      <c r="F51" t="s">
        <v>62</v>
      </c>
    </row>
    <row r="52" spans="1:6" x14ac:dyDescent="0.25">
      <c r="A52" t="s">
        <v>327</v>
      </c>
      <c r="B52" t="s">
        <v>294</v>
      </c>
      <c r="C52">
        <v>4</v>
      </c>
      <c r="D52" t="s">
        <v>108</v>
      </c>
      <c r="E52" t="s">
        <v>60</v>
      </c>
      <c r="F52" t="s">
        <v>62</v>
      </c>
    </row>
    <row r="53" spans="1:6" x14ac:dyDescent="0.25">
      <c r="A53" t="s">
        <v>327</v>
      </c>
      <c r="B53" t="s">
        <v>295</v>
      </c>
      <c r="C53">
        <v>4</v>
      </c>
      <c r="D53" t="s">
        <v>118</v>
      </c>
      <c r="E53" t="s">
        <v>78</v>
      </c>
      <c r="F53" t="s">
        <v>31</v>
      </c>
    </row>
    <row r="54" spans="1:6" x14ac:dyDescent="0.25">
      <c r="A54" t="s">
        <v>327</v>
      </c>
      <c r="B54" t="s">
        <v>296</v>
      </c>
      <c r="C54">
        <v>4</v>
      </c>
      <c r="D54" t="s">
        <v>103</v>
      </c>
      <c r="E54" t="s">
        <v>50</v>
      </c>
      <c r="F54" t="s">
        <v>28</v>
      </c>
    </row>
    <row r="55" spans="1:6" x14ac:dyDescent="0.25">
      <c r="A55" t="s">
        <v>327</v>
      </c>
      <c r="B55" t="s">
        <v>297</v>
      </c>
      <c r="C55">
        <v>4</v>
      </c>
      <c r="D55" t="s">
        <v>113</v>
      </c>
      <c r="E55" t="s">
        <v>54</v>
      </c>
      <c r="F55" t="s">
        <v>35</v>
      </c>
    </row>
    <row r="56" spans="1:6" x14ac:dyDescent="0.25">
      <c r="A56" t="s">
        <v>327</v>
      </c>
      <c r="B56" t="s">
        <v>298</v>
      </c>
      <c r="C56">
        <v>4</v>
      </c>
      <c r="D56" t="s">
        <v>98</v>
      </c>
      <c r="E56" t="s">
        <v>46</v>
      </c>
      <c r="F56" t="s">
        <v>75</v>
      </c>
    </row>
    <row r="57" spans="1:6" x14ac:dyDescent="0.25">
      <c r="A57" t="s">
        <v>327</v>
      </c>
      <c r="B57" t="s">
        <v>399</v>
      </c>
      <c r="C57">
        <v>4</v>
      </c>
      <c r="D57" t="s">
        <v>113</v>
      </c>
      <c r="E57" t="s">
        <v>450</v>
      </c>
      <c r="F57" t="s">
        <v>61</v>
      </c>
    </row>
    <row r="58" spans="1:6" x14ac:dyDescent="0.25">
      <c r="A58" t="s">
        <v>327</v>
      </c>
      <c r="B58" t="s">
        <v>448</v>
      </c>
      <c r="C58">
        <v>4</v>
      </c>
      <c r="D58" t="s">
        <v>113</v>
      </c>
      <c r="E58" t="s">
        <v>450</v>
      </c>
      <c r="F58" t="s">
        <v>61</v>
      </c>
    </row>
    <row r="59" spans="1:6" x14ac:dyDescent="0.25">
      <c r="A59" t="s">
        <v>327</v>
      </c>
      <c r="B59" t="s">
        <v>449</v>
      </c>
      <c r="C59">
        <v>4</v>
      </c>
      <c r="D59" t="s">
        <v>98</v>
      </c>
      <c r="E59" t="s">
        <v>450</v>
      </c>
      <c r="F59" t="s">
        <v>61</v>
      </c>
    </row>
    <row r="60" spans="1:6" x14ac:dyDescent="0.25">
      <c r="A60" t="s">
        <v>327</v>
      </c>
      <c r="B60" t="s">
        <v>471</v>
      </c>
      <c r="C60">
        <v>4</v>
      </c>
      <c r="D60" t="s">
        <v>118</v>
      </c>
      <c r="E60" t="s">
        <v>78</v>
      </c>
      <c r="F60" t="s">
        <v>38</v>
      </c>
    </row>
    <row r="61" spans="1:6" x14ac:dyDescent="0.25">
      <c r="A61" t="s">
        <v>327</v>
      </c>
      <c r="B61" t="s">
        <v>451</v>
      </c>
      <c r="C61">
        <v>3</v>
      </c>
      <c r="D61" t="s">
        <v>108</v>
      </c>
      <c r="E61" t="s">
        <v>60</v>
      </c>
      <c r="F61" t="s">
        <v>61</v>
      </c>
    </row>
    <row r="62" spans="1:6" x14ac:dyDescent="0.25">
      <c r="A62" t="s">
        <v>327</v>
      </c>
      <c r="B62" t="s">
        <v>452</v>
      </c>
      <c r="C62">
        <v>3</v>
      </c>
      <c r="D62" t="s">
        <v>118</v>
      </c>
      <c r="E62" t="s">
        <v>78</v>
      </c>
      <c r="F62" t="s">
        <v>38</v>
      </c>
    </row>
    <row r="63" spans="1:6" x14ac:dyDescent="0.25">
      <c r="A63" t="s">
        <v>327</v>
      </c>
      <c r="B63" t="s">
        <v>453</v>
      </c>
      <c r="C63">
        <v>3</v>
      </c>
      <c r="D63" t="s">
        <v>113</v>
      </c>
      <c r="E63" t="s">
        <v>450</v>
      </c>
      <c r="F63" t="s">
        <v>75</v>
      </c>
    </row>
    <row r="64" spans="1:6" x14ac:dyDescent="0.25">
      <c r="A64" t="s">
        <v>326</v>
      </c>
      <c r="B64" t="s">
        <v>299</v>
      </c>
      <c r="C64">
        <v>5</v>
      </c>
      <c r="D64" t="s">
        <v>103</v>
      </c>
      <c r="E64" t="s">
        <v>50</v>
      </c>
      <c r="F64" t="s">
        <v>28</v>
      </c>
    </row>
    <row r="65" spans="1:6" x14ac:dyDescent="0.25">
      <c r="A65" t="s">
        <v>326</v>
      </c>
      <c r="B65" t="s">
        <v>300</v>
      </c>
      <c r="C65">
        <v>5</v>
      </c>
      <c r="D65" t="s">
        <v>98</v>
      </c>
      <c r="E65" t="s">
        <v>46</v>
      </c>
      <c r="F65" t="s">
        <v>38</v>
      </c>
    </row>
    <row r="66" spans="1:6" x14ac:dyDescent="0.25">
      <c r="A66" t="s">
        <v>326</v>
      </c>
      <c r="B66" t="s">
        <v>400</v>
      </c>
      <c r="C66">
        <v>5</v>
      </c>
      <c r="D66" t="s">
        <v>118</v>
      </c>
      <c r="E66" t="s">
        <v>78</v>
      </c>
      <c r="F66" t="s">
        <v>31</v>
      </c>
    </row>
    <row r="67" spans="1:6" x14ac:dyDescent="0.25">
      <c r="A67" t="s">
        <v>326</v>
      </c>
      <c r="B67" t="s">
        <v>571</v>
      </c>
      <c r="C67">
        <v>4</v>
      </c>
      <c r="D67" t="s">
        <v>712</v>
      </c>
      <c r="E67" t="s">
        <v>558</v>
      </c>
      <c r="F67" t="s">
        <v>35</v>
      </c>
    </row>
    <row r="68" spans="1:6" x14ac:dyDescent="0.25">
      <c r="A68" t="s">
        <v>326</v>
      </c>
      <c r="B68" t="s">
        <v>570</v>
      </c>
      <c r="C68">
        <v>4</v>
      </c>
      <c r="D68" t="s">
        <v>98</v>
      </c>
      <c r="E68" t="s">
        <v>46</v>
      </c>
      <c r="F68" t="s">
        <v>31</v>
      </c>
    </row>
    <row r="69" spans="1:6" x14ac:dyDescent="0.25">
      <c r="A69" t="s">
        <v>326</v>
      </c>
      <c r="B69" t="s">
        <v>301</v>
      </c>
      <c r="C69">
        <v>4</v>
      </c>
      <c r="D69" t="s">
        <v>93</v>
      </c>
      <c r="E69" t="s">
        <v>42</v>
      </c>
      <c r="F69" t="s">
        <v>35</v>
      </c>
    </row>
    <row r="70" spans="1:6" x14ac:dyDescent="0.25">
      <c r="A70" t="s">
        <v>326</v>
      </c>
      <c r="B70" t="s">
        <v>302</v>
      </c>
      <c r="C70">
        <v>4</v>
      </c>
      <c r="D70" t="s">
        <v>108</v>
      </c>
      <c r="E70" t="s">
        <v>60</v>
      </c>
      <c r="F70" t="s">
        <v>75</v>
      </c>
    </row>
    <row r="71" spans="1:6" x14ac:dyDescent="0.25">
      <c r="A71" t="s">
        <v>326</v>
      </c>
      <c r="B71" t="s">
        <v>303</v>
      </c>
      <c r="C71">
        <v>4</v>
      </c>
      <c r="D71" t="s">
        <v>103</v>
      </c>
      <c r="E71" t="s">
        <v>50</v>
      </c>
      <c r="F71" t="s">
        <v>62</v>
      </c>
    </row>
    <row r="72" spans="1:6" x14ac:dyDescent="0.25">
      <c r="A72" t="s">
        <v>326</v>
      </c>
      <c r="B72" t="s">
        <v>304</v>
      </c>
      <c r="C72">
        <v>4</v>
      </c>
      <c r="D72" t="s">
        <v>113</v>
      </c>
      <c r="E72" t="s">
        <v>54</v>
      </c>
      <c r="F72" t="s">
        <v>38</v>
      </c>
    </row>
    <row r="73" spans="1:6" x14ac:dyDescent="0.25">
      <c r="A73" t="s">
        <v>326</v>
      </c>
      <c r="B73" t="s">
        <v>305</v>
      </c>
      <c r="C73">
        <v>4</v>
      </c>
      <c r="D73" t="s">
        <v>118</v>
      </c>
      <c r="E73" t="s">
        <v>78</v>
      </c>
      <c r="F73" t="s">
        <v>28</v>
      </c>
    </row>
    <row r="74" spans="1:6" x14ac:dyDescent="0.25">
      <c r="A74" t="s">
        <v>326</v>
      </c>
      <c r="B74" t="s">
        <v>306</v>
      </c>
      <c r="C74">
        <v>4</v>
      </c>
      <c r="D74" t="s">
        <v>113</v>
      </c>
      <c r="E74" t="s">
        <v>54</v>
      </c>
      <c r="F74" t="s">
        <v>31</v>
      </c>
    </row>
    <row r="75" spans="1:6" x14ac:dyDescent="0.25">
      <c r="A75" t="s">
        <v>326</v>
      </c>
      <c r="B75" t="s">
        <v>307</v>
      </c>
      <c r="C75">
        <v>4</v>
      </c>
      <c r="D75" t="s">
        <v>98</v>
      </c>
      <c r="E75" t="s">
        <v>46</v>
      </c>
      <c r="F75" t="s">
        <v>31</v>
      </c>
    </row>
    <row r="76" spans="1:6" x14ac:dyDescent="0.25">
      <c r="A76" t="s">
        <v>326</v>
      </c>
      <c r="B76" t="s">
        <v>308</v>
      </c>
      <c r="C76">
        <v>4</v>
      </c>
      <c r="D76" t="s">
        <v>93</v>
      </c>
      <c r="E76" t="s">
        <v>42</v>
      </c>
      <c r="F76" t="s">
        <v>61</v>
      </c>
    </row>
    <row r="77" spans="1:6" x14ac:dyDescent="0.25">
      <c r="A77" t="s">
        <v>326</v>
      </c>
      <c r="B77" t="s">
        <v>401</v>
      </c>
      <c r="C77">
        <v>4</v>
      </c>
      <c r="D77" t="s">
        <v>108</v>
      </c>
      <c r="E77" t="s">
        <v>60</v>
      </c>
      <c r="F77" t="s">
        <v>35</v>
      </c>
    </row>
    <row r="78" spans="1:6" x14ac:dyDescent="0.25">
      <c r="A78" t="s">
        <v>326</v>
      </c>
      <c r="B78" t="s">
        <v>454</v>
      </c>
      <c r="C78">
        <v>4</v>
      </c>
      <c r="D78" t="s">
        <v>103</v>
      </c>
      <c r="E78" t="s">
        <v>50</v>
      </c>
      <c r="F78" t="s">
        <v>75</v>
      </c>
    </row>
    <row r="79" spans="1:6" x14ac:dyDescent="0.25">
      <c r="A79" t="s">
        <v>326</v>
      </c>
      <c r="B79" t="s">
        <v>475</v>
      </c>
      <c r="C79">
        <v>4</v>
      </c>
      <c r="D79" t="s">
        <v>98</v>
      </c>
      <c r="E79" t="s">
        <v>46</v>
      </c>
      <c r="F79" t="s">
        <v>62</v>
      </c>
    </row>
    <row r="80" spans="1:6" x14ac:dyDescent="0.25">
      <c r="A80" t="s">
        <v>326</v>
      </c>
      <c r="B80" t="s">
        <v>309</v>
      </c>
      <c r="C80">
        <v>3</v>
      </c>
      <c r="D80" t="s">
        <v>98</v>
      </c>
      <c r="E80" t="s">
        <v>46</v>
      </c>
      <c r="F80" t="s">
        <v>35</v>
      </c>
    </row>
    <row r="81" spans="1:6" x14ac:dyDescent="0.25">
      <c r="A81" t="s">
        <v>326</v>
      </c>
      <c r="B81" t="s">
        <v>455</v>
      </c>
      <c r="C81">
        <v>3</v>
      </c>
      <c r="D81" t="s">
        <v>103</v>
      </c>
      <c r="E81" t="s">
        <v>50</v>
      </c>
      <c r="F81" t="s">
        <v>31</v>
      </c>
    </row>
    <row r="82" spans="1:6" x14ac:dyDescent="0.25">
      <c r="A82" t="s">
        <v>326</v>
      </c>
      <c r="B82" t="s">
        <v>456</v>
      </c>
      <c r="C82">
        <v>3</v>
      </c>
      <c r="D82" t="s">
        <v>113</v>
      </c>
      <c r="E82" t="s">
        <v>54</v>
      </c>
      <c r="F82" t="s">
        <v>61</v>
      </c>
    </row>
    <row r="83" spans="1:6" x14ac:dyDescent="0.25">
      <c r="A83" t="s">
        <v>326</v>
      </c>
      <c r="B83" t="s">
        <v>457</v>
      </c>
      <c r="C83">
        <v>3</v>
      </c>
      <c r="D83" t="s">
        <v>108</v>
      </c>
      <c r="E83" t="s">
        <v>60</v>
      </c>
      <c r="F83" t="s">
        <v>62</v>
      </c>
    </row>
    <row r="84" spans="1:6" x14ac:dyDescent="0.25">
      <c r="A84" t="s">
        <v>326</v>
      </c>
      <c r="B84" t="s">
        <v>458</v>
      </c>
      <c r="C84">
        <v>3</v>
      </c>
      <c r="D84" t="s">
        <v>93</v>
      </c>
      <c r="E84" t="s">
        <v>42</v>
      </c>
      <c r="F84" t="s">
        <v>28</v>
      </c>
    </row>
    <row r="85" spans="1:6" x14ac:dyDescent="0.25">
      <c r="A85" t="s">
        <v>328</v>
      </c>
      <c r="B85" t="s">
        <v>310</v>
      </c>
      <c r="C85">
        <v>5</v>
      </c>
      <c r="D85" t="s">
        <v>98</v>
      </c>
      <c r="E85" t="s">
        <v>46</v>
      </c>
      <c r="F85" t="s">
        <v>38</v>
      </c>
    </row>
    <row r="86" spans="1:6" x14ac:dyDescent="0.25">
      <c r="A86" t="s">
        <v>328</v>
      </c>
      <c r="B86" t="s">
        <v>311</v>
      </c>
      <c r="C86">
        <v>5</v>
      </c>
      <c r="D86" t="s">
        <v>103</v>
      </c>
      <c r="E86" t="s">
        <v>50</v>
      </c>
      <c r="F86" t="s">
        <v>28</v>
      </c>
    </row>
    <row r="87" spans="1:6" x14ac:dyDescent="0.25">
      <c r="A87" t="s">
        <v>328</v>
      </c>
      <c r="B87" t="s">
        <v>473</v>
      </c>
      <c r="C87">
        <v>5</v>
      </c>
      <c r="D87" t="s">
        <v>98</v>
      </c>
      <c r="E87" t="s">
        <v>42</v>
      </c>
      <c r="F87" t="s">
        <v>61</v>
      </c>
    </row>
    <row r="88" spans="1:6" x14ac:dyDescent="0.25">
      <c r="A88" t="s">
        <v>328</v>
      </c>
      <c r="B88" t="s">
        <v>569</v>
      </c>
      <c r="C88">
        <v>5</v>
      </c>
      <c r="D88" t="s">
        <v>552</v>
      </c>
      <c r="E88" t="s">
        <v>557</v>
      </c>
      <c r="F88" t="s">
        <v>38</v>
      </c>
    </row>
    <row r="89" spans="1:6" x14ac:dyDescent="0.25">
      <c r="A89" t="s">
        <v>328</v>
      </c>
      <c r="B89" t="s">
        <v>568</v>
      </c>
      <c r="C89">
        <v>4</v>
      </c>
      <c r="D89" t="s">
        <v>552</v>
      </c>
      <c r="E89" t="s">
        <v>557</v>
      </c>
      <c r="F89" t="s">
        <v>38</v>
      </c>
    </row>
    <row r="90" spans="1:6" x14ac:dyDescent="0.25">
      <c r="A90" t="s">
        <v>328</v>
      </c>
      <c r="B90" t="s">
        <v>567</v>
      </c>
      <c r="C90">
        <v>4</v>
      </c>
      <c r="D90" t="s">
        <v>93</v>
      </c>
      <c r="E90" t="s">
        <v>42</v>
      </c>
      <c r="F90" t="s">
        <v>62</v>
      </c>
    </row>
    <row r="91" spans="1:6" x14ac:dyDescent="0.25">
      <c r="A91" t="s">
        <v>328</v>
      </c>
      <c r="B91" t="s">
        <v>312</v>
      </c>
      <c r="C91">
        <v>4</v>
      </c>
      <c r="D91" t="s">
        <v>93</v>
      </c>
      <c r="E91" t="s">
        <v>42</v>
      </c>
      <c r="F91" t="s">
        <v>38</v>
      </c>
    </row>
    <row r="92" spans="1:6" x14ac:dyDescent="0.25">
      <c r="A92" t="s">
        <v>328</v>
      </c>
      <c r="B92" t="s">
        <v>313</v>
      </c>
      <c r="C92">
        <v>4</v>
      </c>
      <c r="D92" t="s">
        <v>93</v>
      </c>
      <c r="E92" t="s">
        <v>42</v>
      </c>
      <c r="F92" t="s">
        <v>38</v>
      </c>
    </row>
    <row r="93" spans="1:6" x14ac:dyDescent="0.25">
      <c r="A93" t="s">
        <v>328</v>
      </c>
      <c r="B93" t="s">
        <v>314</v>
      </c>
      <c r="C93">
        <v>4</v>
      </c>
      <c r="D93" t="s">
        <v>98</v>
      </c>
      <c r="E93" t="s">
        <v>46</v>
      </c>
      <c r="F93" t="s">
        <v>28</v>
      </c>
    </row>
    <row r="94" spans="1:6" x14ac:dyDescent="0.25">
      <c r="A94" t="s">
        <v>328</v>
      </c>
      <c r="B94" t="s">
        <v>315</v>
      </c>
      <c r="C94">
        <v>4</v>
      </c>
      <c r="D94" t="s">
        <v>103</v>
      </c>
      <c r="E94" t="s">
        <v>50</v>
      </c>
      <c r="F94" t="s">
        <v>75</v>
      </c>
    </row>
    <row r="95" spans="1:6" x14ac:dyDescent="0.25">
      <c r="A95" t="s">
        <v>328</v>
      </c>
      <c r="B95" t="s">
        <v>316</v>
      </c>
      <c r="C95">
        <v>4</v>
      </c>
      <c r="D95" t="s">
        <v>103</v>
      </c>
      <c r="E95" t="s">
        <v>50</v>
      </c>
      <c r="F95" t="s">
        <v>35</v>
      </c>
    </row>
    <row r="96" spans="1:6" x14ac:dyDescent="0.25">
      <c r="A96" t="s">
        <v>328</v>
      </c>
      <c r="B96" t="s">
        <v>317</v>
      </c>
      <c r="C96">
        <v>4</v>
      </c>
      <c r="D96" t="s">
        <v>118</v>
      </c>
      <c r="E96" t="s">
        <v>78</v>
      </c>
      <c r="F96" t="s">
        <v>61</v>
      </c>
    </row>
    <row r="97" spans="1:6" x14ac:dyDescent="0.25">
      <c r="A97" t="s">
        <v>328</v>
      </c>
      <c r="B97" t="s">
        <v>318</v>
      </c>
      <c r="C97">
        <v>4</v>
      </c>
      <c r="D97" t="s">
        <v>113</v>
      </c>
      <c r="E97" t="s">
        <v>54</v>
      </c>
      <c r="F97" t="s">
        <v>62</v>
      </c>
    </row>
    <row r="98" spans="1:6" x14ac:dyDescent="0.25">
      <c r="A98" t="s">
        <v>328</v>
      </c>
      <c r="B98" t="s">
        <v>319</v>
      </c>
      <c r="C98">
        <v>4</v>
      </c>
      <c r="D98" t="s">
        <v>108</v>
      </c>
      <c r="E98" t="s">
        <v>60</v>
      </c>
      <c r="F98" t="s">
        <v>31</v>
      </c>
    </row>
    <row r="99" spans="1:6" x14ac:dyDescent="0.25">
      <c r="A99" t="s">
        <v>328</v>
      </c>
      <c r="B99" t="s">
        <v>402</v>
      </c>
      <c r="C99">
        <v>4</v>
      </c>
      <c r="D99" t="s">
        <v>108</v>
      </c>
      <c r="E99" t="s">
        <v>60</v>
      </c>
      <c r="F99" t="s">
        <v>75</v>
      </c>
    </row>
    <row r="100" spans="1:6" x14ac:dyDescent="0.25">
      <c r="A100" t="s">
        <v>328</v>
      </c>
      <c r="B100" t="s">
        <v>476</v>
      </c>
      <c r="C100">
        <v>4</v>
      </c>
      <c r="D100" t="s">
        <v>103</v>
      </c>
      <c r="E100" t="s">
        <v>50</v>
      </c>
      <c r="F100" t="s">
        <v>28</v>
      </c>
    </row>
    <row r="101" spans="1:6" x14ac:dyDescent="0.25">
      <c r="A101" t="s">
        <v>328</v>
      </c>
      <c r="B101" t="s">
        <v>477</v>
      </c>
      <c r="C101">
        <v>4</v>
      </c>
      <c r="D101" t="s">
        <v>103</v>
      </c>
      <c r="E101" t="s">
        <v>46</v>
      </c>
      <c r="F101" t="s">
        <v>75</v>
      </c>
    </row>
    <row r="102" spans="1:6" x14ac:dyDescent="0.25">
      <c r="A102" t="s">
        <v>328</v>
      </c>
      <c r="B102" t="s">
        <v>459</v>
      </c>
      <c r="C102">
        <v>3</v>
      </c>
      <c r="D102" t="s">
        <v>113</v>
      </c>
      <c r="E102" t="s">
        <v>54</v>
      </c>
      <c r="F102" t="s">
        <v>62</v>
      </c>
    </row>
    <row r="103" spans="1:6" x14ac:dyDescent="0.25">
      <c r="A103" t="s">
        <v>328</v>
      </c>
      <c r="B103" t="s">
        <v>460</v>
      </c>
      <c r="C103">
        <v>3</v>
      </c>
      <c r="D103" t="s">
        <v>98</v>
      </c>
      <c r="E103" t="s">
        <v>46</v>
      </c>
      <c r="F103" t="s">
        <v>28</v>
      </c>
    </row>
    <row r="104" spans="1:6" x14ac:dyDescent="0.25">
      <c r="A104" t="s">
        <v>328</v>
      </c>
      <c r="B104" t="s">
        <v>461</v>
      </c>
      <c r="C104">
        <v>3</v>
      </c>
      <c r="D104" t="s">
        <v>93</v>
      </c>
      <c r="E104" t="s">
        <v>42</v>
      </c>
      <c r="F104" t="s">
        <v>38</v>
      </c>
    </row>
    <row r="105" spans="1:6" x14ac:dyDescent="0.25">
      <c r="A105" t="s">
        <v>328</v>
      </c>
      <c r="B105" t="s">
        <v>462</v>
      </c>
      <c r="C105">
        <v>3</v>
      </c>
      <c r="D105" t="s">
        <v>108</v>
      </c>
      <c r="E105" t="s">
        <v>60</v>
      </c>
      <c r="F105" t="s">
        <v>31</v>
      </c>
    </row>
    <row r="106" spans="1:6" x14ac:dyDescent="0.25">
      <c r="A106" t="s">
        <v>328</v>
      </c>
      <c r="B106" t="s">
        <v>463</v>
      </c>
      <c r="C106">
        <v>3</v>
      </c>
      <c r="D106" t="s">
        <v>103</v>
      </c>
      <c r="E106" t="s">
        <v>50</v>
      </c>
      <c r="F106" t="s">
        <v>35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C2AE5-9305-4F7E-9B98-CF5508A23436}">
  <sheetPr codeName="Sheet4"/>
  <dimension ref="A1:H56"/>
  <sheetViews>
    <sheetView workbookViewId="0">
      <pane ySplit="1" topLeftCell="A2" activePane="bottomLeft" state="frozen"/>
      <selection pane="bottomLeft" activeCell="E36" sqref="E36"/>
    </sheetView>
  </sheetViews>
  <sheetFormatPr defaultRowHeight="13.8" x14ac:dyDescent="0.25"/>
  <sheetData>
    <row r="1" spans="1:5" x14ac:dyDescent="0.25">
      <c r="A1" t="s">
        <v>0</v>
      </c>
      <c r="B1" t="s">
        <v>7</v>
      </c>
      <c r="C1" t="s">
        <v>8</v>
      </c>
      <c r="E1" t="s">
        <v>368</v>
      </c>
    </row>
    <row r="2" spans="1:5" x14ac:dyDescent="0.25">
      <c r="A2">
        <v>1</v>
      </c>
      <c r="E2" t="s">
        <v>369</v>
      </c>
    </row>
    <row r="3" spans="1:5" x14ac:dyDescent="0.25">
      <c r="A3">
        <v>2</v>
      </c>
      <c r="B3">
        <f>SUM($C$3:C3)</f>
        <v>375</v>
      </c>
      <c r="C3">
        <v>375</v>
      </c>
      <c r="E3" t="s">
        <v>411</v>
      </c>
    </row>
    <row r="4" spans="1:5" x14ac:dyDescent="0.25">
      <c r="A4">
        <v>3</v>
      </c>
      <c r="B4">
        <f>SUM($C$3:C4)</f>
        <v>875</v>
      </c>
      <c r="C4">
        <v>500</v>
      </c>
    </row>
    <row r="5" spans="1:5" x14ac:dyDescent="0.25">
      <c r="A5">
        <v>4</v>
      </c>
      <c r="B5">
        <f>SUM($C$3:C5)</f>
        <v>1500</v>
      </c>
      <c r="C5">
        <v>625</v>
      </c>
    </row>
    <row r="6" spans="1:5" x14ac:dyDescent="0.25">
      <c r="A6">
        <v>5</v>
      </c>
      <c r="B6">
        <f>SUM($C$3:C6)</f>
        <v>2225</v>
      </c>
      <c r="C6">
        <v>725</v>
      </c>
    </row>
    <row r="7" spans="1:5" x14ac:dyDescent="0.25">
      <c r="A7">
        <v>6</v>
      </c>
      <c r="B7">
        <f>SUM($C$3:C7)</f>
        <v>3075</v>
      </c>
      <c r="C7">
        <v>850</v>
      </c>
    </row>
    <row r="8" spans="1:5" x14ac:dyDescent="0.25">
      <c r="A8">
        <v>7</v>
      </c>
      <c r="B8">
        <f>SUM($C$3:C8)</f>
        <v>4025</v>
      </c>
      <c r="C8">
        <v>950</v>
      </c>
    </row>
    <row r="9" spans="1:5" x14ac:dyDescent="0.25">
      <c r="A9">
        <v>8</v>
      </c>
      <c r="B9">
        <f>SUM($C$3:C9)</f>
        <v>5100</v>
      </c>
      <c r="C9">
        <v>1075</v>
      </c>
    </row>
    <row r="10" spans="1:5" x14ac:dyDescent="0.25">
      <c r="A10">
        <v>9</v>
      </c>
      <c r="B10">
        <f>SUM($C$3:C10)</f>
        <v>6300</v>
      </c>
      <c r="C10">
        <v>1200</v>
      </c>
    </row>
    <row r="11" spans="1:5" x14ac:dyDescent="0.25">
      <c r="A11">
        <v>10</v>
      </c>
      <c r="B11">
        <f>SUM($C$3:C11)</f>
        <v>7600</v>
      </c>
      <c r="C11">
        <v>1300</v>
      </c>
    </row>
    <row r="12" spans="1:5" x14ac:dyDescent="0.25">
      <c r="A12">
        <v>11</v>
      </c>
      <c r="B12">
        <f>SUM($C$3:C12)</f>
        <v>9025</v>
      </c>
      <c r="C12">
        <v>1425</v>
      </c>
    </row>
    <row r="13" spans="1:5" x14ac:dyDescent="0.25">
      <c r="A13">
        <v>12</v>
      </c>
      <c r="B13">
        <f>SUM($C$3:C13)</f>
        <v>10550</v>
      </c>
      <c r="C13">
        <v>1525</v>
      </c>
    </row>
    <row r="14" spans="1:5" x14ac:dyDescent="0.25">
      <c r="A14">
        <v>13</v>
      </c>
      <c r="B14">
        <f>SUM($C$3:C14)</f>
        <v>12200</v>
      </c>
      <c r="C14">
        <v>1650</v>
      </c>
    </row>
    <row r="15" spans="1:5" x14ac:dyDescent="0.25">
      <c r="A15">
        <v>14</v>
      </c>
      <c r="B15">
        <f>SUM($C$3:C15)</f>
        <v>13975</v>
      </c>
      <c r="C15">
        <v>1775</v>
      </c>
    </row>
    <row r="16" spans="1:5" x14ac:dyDescent="0.25">
      <c r="A16">
        <v>15</v>
      </c>
      <c r="B16">
        <f>SUM($C$3:C16)</f>
        <v>15850</v>
      </c>
      <c r="C16">
        <v>1875</v>
      </c>
    </row>
    <row r="17" spans="1:3" x14ac:dyDescent="0.25">
      <c r="A17">
        <v>16</v>
      </c>
      <c r="B17">
        <f>SUM($C$3:C17)</f>
        <v>17850</v>
      </c>
      <c r="C17">
        <v>2000</v>
      </c>
    </row>
    <row r="18" spans="1:3" x14ac:dyDescent="0.25">
      <c r="A18">
        <v>17</v>
      </c>
      <c r="B18">
        <f>SUM($C$3:C18)</f>
        <v>20225</v>
      </c>
      <c r="C18">
        <v>2375</v>
      </c>
    </row>
    <row r="19" spans="1:3" x14ac:dyDescent="0.25">
      <c r="A19">
        <v>18</v>
      </c>
      <c r="B19">
        <f>SUM($C$3:C19)</f>
        <v>22725</v>
      </c>
      <c r="C19">
        <v>2500</v>
      </c>
    </row>
    <row r="20" spans="1:3" x14ac:dyDescent="0.25">
      <c r="A20">
        <v>19</v>
      </c>
      <c r="B20">
        <f>SUM($C$3:C20)</f>
        <v>25350</v>
      </c>
      <c r="C20">
        <v>2625</v>
      </c>
    </row>
    <row r="21" spans="1:3" x14ac:dyDescent="0.25">
      <c r="A21">
        <v>20</v>
      </c>
      <c r="B21">
        <f>SUM($C$3:C21)</f>
        <v>28125</v>
      </c>
      <c r="C21">
        <v>2775</v>
      </c>
    </row>
    <row r="22" spans="1:3" x14ac:dyDescent="0.25">
      <c r="A22">
        <v>21</v>
      </c>
      <c r="B22">
        <f>SUM($C$3:C22)</f>
        <v>30950</v>
      </c>
      <c r="C22">
        <v>2825</v>
      </c>
    </row>
    <row r="23" spans="1:3" x14ac:dyDescent="0.25">
      <c r="A23">
        <v>22</v>
      </c>
      <c r="B23">
        <f>SUM($C$3:C23)</f>
        <v>34375</v>
      </c>
      <c r="C23">
        <v>3425</v>
      </c>
    </row>
    <row r="24" spans="1:3" x14ac:dyDescent="0.25">
      <c r="A24">
        <v>23</v>
      </c>
      <c r="B24">
        <f>SUM($C$3:C24)</f>
        <v>38100</v>
      </c>
      <c r="C24">
        <v>3725</v>
      </c>
    </row>
    <row r="25" spans="1:3" x14ac:dyDescent="0.25">
      <c r="A25">
        <v>24</v>
      </c>
      <c r="B25">
        <f>SUM($C$3:C25)</f>
        <v>42100</v>
      </c>
      <c r="C25">
        <v>4000</v>
      </c>
    </row>
    <row r="26" spans="1:3" x14ac:dyDescent="0.25">
      <c r="A26">
        <v>25</v>
      </c>
      <c r="B26">
        <f>SUM($C$3:C26)</f>
        <v>46400</v>
      </c>
      <c r="C26">
        <v>4300</v>
      </c>
    </row>
    <row r="27" spans="1:3" x14ac:dyDescent="0.25">
      <c r="A27">
        <v>26</v>
      </c>
      <c r="B27">
        <f>SUM($C$3:C27)</f>
        <v>50975</v>
      </c>
      <c r="C27">
        <v>4575</v>
      </c>
    </row>
    <row r="28" spans="1:3" x14ac:dyDescent="0.25">
      <c r="A28">
        <v>27</v>
      </c>
      <c r="B28">
        <f>SUM($C$3:C28)</f>
        <v>55850</v>
      </c>
      <c r="C28">
        <v>4875</v>
      </c>
    </row>
    <row r="29" spans="1:3" x14ac:dyDescent="0.25">
      <c r="A29">
        <v>28</v>
      </c>
      <c r="B29">
        <f>SUM($C$3:C29)</f>
        <v>61000</v>
      </c>
      <c r="C29">
        <v>5150</v>
      </c>
    </row>
    <row r="30" spans="1:3" x14ac:dyDescent="0.25">
      <c r="A30">
        <v>29</v>
      </c>
      <c r="B30">
        <f>SUM($C$3:C30)</f>
        <v>66450</v>
      </c>
      <c r="C30">
        <v>5450</v>
      </c>
    </row>
    <row r="31" spans="1:3" x14ac:dyDescent="0.25">
      <c r="A31">
        <v>30</v>
      </c>
      <c r="B31">
        <f>SUM($C$3:C31)</f>
        <v>72175</v>
      </c>
      <c r="C31">
        <v>5725</v>
      </c>
    </row>
    <row r="32" spans="1:3" x14ac:dyDescent="0.25">
      <c r="A32">
        <v>31</v>
      </c>
      <c r="B32">
        <f>SUM($C$3:C32)</f>
        <v>78200</v>
      </c>
      <c r="C32">
        <v>6025</v>
      </c>
    </row>
    <row r="33" spans="1:3" x14ac:dyDescent="0.25">
      <c r="A33">
        <v>32</v>
      </c>
      <c r="B33">
        <f>SUM($C$3:C33)</f>
        <v>84500</v>
      </c>
      <c r="C33">
        <v>6300</v>
      </c>
    </row>
    <row r="34" spans="1:3" x14ac:dyDescent="0.25">
      <c r="A34">
        <v>33</v>
      </c>
      <c r="B34">
        <f>SUM($C$3:C34)</f>
        <v>91100</v>
      </c>
      <c r="C34">
        <v>6600</v>
      </c>
    </row>
    <row r="35" spans="1:3" x14ac:dyDescent="0.25">
      <c r="A35">
        <v>34</v>
      </c>
      <c r="B35">
        <f>SUM($C$3:C35)</f>
        <v>98000</v>
      </c>
      <c r="C35">
        <v>6900</v>
      </c>
    </row>
    <row r="36" spans="1:3" x14ac:dyDescent="0.25">
      <c r="A36">
        <v>35</v>
      </c>
      <c r="B36">
        <f>SUM($C$3:C36)</f>
        <v>105175</v>
      </c>
      <c r="C36">
        <v>7175</v>
      </c>
    </row>
    <row r="37" spans="1:3" x14ac:dyDescent="0.25">
      <c r="A37">
        <v>36</v>
      </c>
      <c r="B37">
        <f>SUM($C$3:C37)</f>
        <v>112650</v>
      </c>
      <c r="C37">
        <v>7475</v>
      </c>
    </row>
    <row r="38" spans="1:3" x14ac:dyDescent="0.25">
      <c r="A38">
        <v>37</v>
      </c>
      <c r="B38">
        <f>SUM($C$3:C38)</f>
        <v>120400</v>
      </c>
      <c r="C38">
        <v>7750</v>
      </c>
    </row>
    <row r="39" spans="1:3" x14ac:dyDescent="0.25">
      <c r="A39">
        <v>38</v>
      </c>
      <c r="B39">
        <f>SUM($C$3:C39)</f>
        <v>128450</v>
      </c>
      <c r="C39">
        <v>8050</v>
      </c>
    </row>
    <row r="40" spans="1:3" x14ac:dyDescent="0.25">
      <c r="A40">
        <v>39</v>
      </c>
      <c r="B40">
        <f>SUM($C$3:C40)</f>
        <v>136775</v>
      </c>
      <c r="C40">
        <v>8325</v>
      </c>
    </row>
    <row r="41" spans="1:3" x14ac:dyDescent="0.25">
      <c r="A41">
        <v>40</v>
      </c>
      <c r="B41">
        <f>SUM($C$3:C41)</f>
        <v>145400</v>
      </c>
      <c r="C41">
        <v>8625</v>
      </c>
    </row>
    <row r="42" spans="1:3" x14ac:dyDescent="0.25">
      <c r="A42">
        <v>41</v>
      </c>
      <c r="B42">
        <f>SUM($C$3:C42)</f>
        <v>155950</v>
      </c>
      <c r="C42">
        <v>10550</v>
      </c>
    </row>
    <row r="43" spans="1:3" x14ac:dyDescent="0.25">
      <c r="A43">
        <v>42</v>
      </c>
      <c r="B43">
        <f>SUM($C$3:C43)</f>
        <v>167475</v>
      </c>
      <c r="C43">
        <v>11525</v>
      </c>
    </row>
    <row r="44" spans="1:3" x14ac:dyDescent="0.25">
      <c r="A44">
        <v>43</v>
      </c>
      <c r="B44">
        <f>SUM($C$3:C44)</f>
        <v>179950</v>
      </c>
      <c r="C44">
        <v>12475</v>
      </c>
    </row>
    <row r="45" spans="1:3" x14ac:dyDescent="0.25">
      <c r="A45">
        <v>44</v>
      </c>
      <c r="B45">
        <f>SUM($C$3:C45)</f>
        <v>193400</v>
      </c>
      <c r="C45">
        <v>13450</v>
      </c>
    </row>
    <row r="46" spans="1:3" x14ac:dyDescent="0.25">
      <c r="A46">
        <v>45</v>
      </c>
      <c r="B46">
        <f>SUM($C$3:C46)</f>
        <v>207800</v>
      </c>
      <c r="C46">
        <v>14400</v>
      </c>
    </row>
    <row r="47" spans="1:3" x14ac:dyDescent="0.25">
      <c r="A47">
        <v>46</v>
      </c>
      <c r="B47">
        <f>SUM($C$3:C47)</f>
        <v>223150</v>
      </c>
      <c r="C47">
        <v>15350</v>
      </c>
    </row>
    <row r="48" spans="1:3" x14ac:dyDescent="0.25">
      <c r="A48">
        <v>47</v>
      </c>
      <c r="B48">
        <f>SUM($C$3:C48)</f>
        <v>239475</v>
      </c>
      <c r="C48">
        <v>16325</v>
      </c>
    </row>
    <row r="49" spans="1:8" x14ac:dyDescent="0.25">
      <c r="A49">
        <v>48</v>
      </c>
      <c r="B49">
        <f>SUM($C$3:C49)</f>
        <v>256750</v>
      </c>
      <c r="C49">
        <v>17275</v>
      </c>
    </row>
    <row r="50" spans="1:8" x14ac:dyDescent="0.25">
      <c r="A50">
        <v>49</v>
      </c>
      <c r="B50">
        <f>SUM($C$3:C50)</f>
        <v>275000</v>
      </c>
      <c r="C50">
        <v>18250</v>
      </c>
    </row>
    <row r="51" spans="1:8" x14ac:dyDescent="0.25">
      <c r="A51">
        <v>50</v>
      </c>
      <c r="B51">
        <f>SUM($C$3:C51)</f>
        <v>294200</v>
      </c>
      <c r="C51">
        <v>19200</v>
      </c>
    </row>
    <row r="52" spans="1:8" x14ac:dyDescent="0.25">
      <c r="A52">
        <v>51</v>
      </c>
      <c r="B52">
        <f>SUM($C$3:C52)</f>
        <v>314350</v>
      </c>
      <c r="C52">
        <v>20150</v>
      </c>
    </row>
    <row r="53" spans="1:8" x14ac:dyDescent="0.25">
      <c r="A53">
        <v>52</v>
      </c>
      <c r="B53">
        <f>SUM($C$3:C53)</f>
        <v>345550</v>
      </c>
      <c r="C53">
        <v>31200</v>
      </c>
      <c r="E53" s="8" t="s">
        <v>426</v>
      </c>
      <c r="F53" s="15" t="s">
        <v>427</v>
      </c>
      <c r="G53" s="8" t="s">
        <v>429</v>
      </c>
      <c r="H53" s="8" t="s">
        <v>428</v>
      </c>
    </row>
    <row r="54" spans="1:8" x14ac:dyDescent="0.25">
      <c r="A54">
        <v>53</v>
      </c>
      <c r="B54">
        <f>SUM($C$3:C54)</f>
        <v>379150</v>
      </c>
      <c r="C54">
        <v>33600</v>
      </c>
      <c r="E54">
        <f>C55-19375</f>
        <v>16625</v>
      </c>
      <c r="F54">
        <f>2400</f>
        <v>2400</v>
      </c>
      <c r="G54" s="16">
        <f>E54/F54</f>
        <v>6.927083333333333</v>
      </c>
      <c r="H54" s="16">
        <f>G54/7</f>
        <v>0.98958333333333326</v>
      </c>
    </row>
    <row r="55" spans="1:8" x14ac:dyDescent="0.25">
      <c r="A55">
        <v>54</v>
      </c>
      <c r="B55">
        <f>SUM($C$3:C55)</f>
        <v>415150</v>
      </c>
      <c r="C55">
        <v>36000</v>
      </c>
      <c r="E55">
        <f>$E$54</f>
        <v>16625</v>
      </c>
      <c r="F55">
        <v>2700</v>
      </c>
      <c r="G55" s="16">
        <f t="shared" ref="G55:G56" si="0">E55/F55</f>
        <v>6.1574074074074074</v>
      </c>
      <c r="H55" s="16">
        <f t="shared" ref="H55:H56" si="1">G55/7</f>
        <v>0.87962962962962965</v>
      </c>
    </row>
    <row r="56" spans="1:8" x14ac:dyDescent="0.25">
      <c r="A56">
        <v>55</v>
      </c>
      <c r="B56">
        <f>SUM($C$3:C56)</f>
        <v>647500</v>
      </c>
      <c r="C56">
        <v>232350</v>
      </c>
      <c r="E56">
        <f>$E$54</f>
        <v>16625</v>
      </c>
      <c r="F56">
        <v>3500</v>
      </c>
      <c r="G56" s="16">
        <f t="shared" si="0"/>
        <v>4.75</v>
      </c>
      <c r="H56" s="16">
        <f t="shared" si="1"/>
        <v>0.6785714285714286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P97"/>
  <sheetViews>
    <sheetView workbookViewId="0">
      <pane ySplit="1" topLeftCell="A2" activePane="bottomLeft" state="frozen"/>
      <selection pane="bottomLeft"/>
    </sheetView>
  </sheetViews>
  <sheetFormatPr defaultRowHeight="13.8" x14ac:dyDescent="0.25"/>
  <cols>
    <col min="10" max="10" width="11.77734375" customWidth="1"/>
  </cols>
  <sheetData>
    <row r="1" spans="1:16" x14ac:dyDescent="0.25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414</v>
      </c>
      <c r="H1" t="s">
        <v>368</v>
      </c>
      <c r="L1" t="s">
        <v>415</v>
      </c>
      <c r="P1" s="13"/>
    </row>
    <row r="2" spans="1:16" x14ac:dyDescent="0.25">
      <c r="A2">
        <v>1</v>
      </c>
      <c r="H2" t="s">
        <v>375</v>
      </c>
      <c r="L2">
        <v>1</v>
      </c>
      <c r="P2" s="12"/>
    </row>
    <row r="3" spans="1:16" x14ac:dyDescent="0.25">
      <c r="A3">
        <v>2</v>
      </c>
      <c r="B3">
        <f>SUM($D$3:D3)</f>
        <v>1000</v>
      </c>
      <c r="C3">
        <f>SUM($E$3:F3)</f>
        <v>200</v>
      </c>
      <c r="D3">
        <v>1000</v>
      </c>
      <c r="E3">
        <f>D3/5</f>
        <v>200</v>
      </c>
      <c r="H3" t="s">
        <v>412</v>
      </c>
      <c r="L3">
        <v>2</v>
      </c>
      <c r="P3" s="12"/>
    </row>
    <row r="4" spans="1:16" x14ac:dyDescent="0.25">
      <c r="A4">
        <v>3</v>
      </c>
      <c r="B4">
        <f>SUM($D$3:D4)</f>
        <v>2325</v>
      </c>
      <c r="C4">
        <f>SUM($E$3:F4)</f>
        <v>465</v>
      </c>
      <c r="D4">
        <v>1325</v>
      </c>
      <c r="E4">
        <f t="shared" ref="E4:E67" si="0">D4/5</f>
        <v>265</v>
      </c>
      <c r="H4" t="s">
        <v>413</v>
      </c>
      <c r="L4">
        <v>3</v>
      </c>
      <c r="P4" s="12"/>
    </row>
    <row r="5" spans="1:16" x14ac:dyDescent="0.25">
      <c r="A5">
        <v>4</v>
      </c>
      <c r="B5">
        <f>SUM($D$3:D5)</f>
        <v>4025</v>
      </c>
      <c r="C5">
        <f>SUM($E$3:F5)</f>
        <v>805</v>
      </c>
      <c r="D5">
        <v>1700</v>
      </c>
      <c r="E5">
        <f t="shared" si="0"/>
        <v>340</v>
      </c>
      <c r="L5">
        <v>4</v>
      </c>
      <c r="P5" s="12"/>
    </row>
    <row r="6" spans="1:16" x14ac:dyDescent="0.25">
      <c r="A6">
        <v>5</v>
      </c>
      <c r="B6">
        <f>SUM($D$3:D6)</f>
        <v>6175</v>
      </c>
      <c r="C6">
        <f>SUM($E$3:F6)</f>
        <v>1235</v>
      </c>
      <c r="D6">
        <v>2150</v>
      </c>
      <c r="E6">
        <f t="shared" si="0"/>
        <v>430</v>
      </c>
      <c r="L6">
        <v>5</v>
      </c>
      <c r="P6" s="12"/>
    </row>
    <row r="7" spans="1:16" x14ac:dyDescent="0.25">
      <c r="A7">
        <v>6</v>
      </c>
      <c r="B7">
        <f>SUM($D$3:D7)</f>
        <v>8800</v>
      </c>
      <c r="C7">
        <f>SUM($E$3:F7)</f>
        <v>1760</v>
      </c>
      <c r="D7">
        <v>2625</v>
      </c>
      <c r="E7">
        <f t="shared" si="0"/>
        <v>525</v>
      </c>
      <c r="L7">
        <v>6</v>
      </c>
      <c r="P7" s="12"/>
    </row>
    <row r="8" spans="1:16" x14ac:dyDescent="0.25">
      <c r="A8">
        <v>7</v>
      </c>
      <c r="B8">
        <f>SUM($D$3:D8)</f>
        <v>11950</v>
      </c>
      <c r="C8">
        <f>SUM($E$3:F8)</f>
        <v>2390</v>
      </c>
      <c r="D8">
        <v>3150</v>
      </c>
      <c r="E8">
        <f t="shared" si="0"/>
        <v>630</v>
      </c>
      <c r="L8">
        <v>7</v>
      </c>
      <c r="P8" s="12"/>
    </row>
    <row r="9" spans="1:16" x14ac:dyDescent="0.25">
      <c r="A9">
        <v>8</v>
      </c>
      <c r="B9">
        <f>SUM($D$3:D9)</f>
        <v>15675</v>
      </c>
      <c r="C9">
        <f>SUM($E$3:F9)</f>
        <v>3135</v>
      </c>
      <c r="D9">
        <v>3725</v>
      </c>
      <c r="E9">
        <f t="shared" si="0"/>
        <v>745</v>
      </c>
      <c r="L9">
        <v>8</v>
      </c>
      <c r="P9" s="12"/>
    </row>
    <row r="10" spans="1:16" x14ac:dyDescent="0.25">
      <c r="A10">
        <v>9</v>
      </c>
      <c r="B10">
        <f>SUM($D$3:D10)</f>
        <v>20025</v>
      </c>
      <c r="C10">
        <f>SUM($E$3:F10)</f>
        <v>4005</v>
      </c>
      <c r="D10">
        <v>4350</v>
      </c>
      <c r="E10">
        <f t="shared" si="0"/>
        <v>870</v>
      </c>
      <c r="L10">
        <v>9</v>
      </c>
      <c r="P10" s="12"/>
    </row>
    <row r="11" spans="1:16" x14ac:dyDescent="0.25">
      <c r="A11">
        <v>10</v>
      </c>
      <c r="B11">
        <f>SUM($D$3:D11)</f>
        <v>25025</v>
      </c>
      <c r="C11">
        <f>SUM($E$3:F11)</f>
        <v>5005</v>
      </c>
      <c r="D11">
        <v>5000</v>
      </c>
      <c r="E11">
        <f t="shared" si="0"/>
        <v>1000</v>
      </c>
      <c r="L11">
        <v>10</v>
      </c>
      <c r="P11" s="12"/>
    </row>
    <row r="12" spans="1:16" x14ac:dyDescent="0.25">
      <c r="A12">
        <v>11</v>
      </c>
      <c r="B12">
        <f>SUM($D$3:D12)</f>
        <v>30725</v>
      </c>
      <c r="C12">
        <f>SUM($E$3:F12)</f>
        <v>6145</v>
      </c>
      <c r="D12">
        <v>5700</v>
      </c>
      <c r="E12">
        <f t="shared" si="0"/>
        <v>1140</v>
      </c>
      <c r="L12">
        <v>11</v>
      </c>
      <c r="P12" s="12"/>
    </row>
    <row r="13" spans="1:16" x14ac:dyDescent="0.25">
      <c r="A13">
        <v>12</v>
      </c>
      <c r="B13">
        <f>SUM($D$3:D13)</f>
        <v>37175</v>
      </c>
      <c r="C13">
        <f>SUM($E$3:F13)</f>
        <v>7435</v>
      </c>
      <c r="D13">
        <v>6450</v>
      </c>
      <c r="E13">
        <f t="shared" si="0"/>
        <v>1290</v>
      </c>
      <c r="L13">
        <v>12</v>
      </c>
      <c r="P13" s="12"/>
    </row>
    <row r="14" spans="1:16" x14ac:dyDescent="0.25">
      <c r="A14">
        <v>13</v>
      </c>
      <c r="B14">
        <f>SUM($D$3:D14)</f>
        <v>44400</v>
      </c>
      <c r="C14">
        <f>SUM($E$3:F14)</f>
        <v>8880</v>
      </c>
      <c r="D14">
        <v>7225</v>
      </c>
      <c r="E14">
        <f t="shared" si="0"/>
        <v>1445</v>
      </c>
      <c r="L14">
        <v>13</v>
      </c>
      <c r="P14" s="12"/>
    </row>
    <row r="15" spans="1:16" x14ac:dyDescent="0.25">
      <c r="A15">
        <v>14</v>
      </c>
      <c r="B15">
        <f>SUM($D$3:D15)</f>
        <v>52450</v>
      </c>
      <c r="C15">
        <f>SUM($E$3:F15)</f>
        <v>10490</v>
      </c>
      <c r="D15">
        <v>8050</v>
      </c>
      <c r="E15">
        <f t="shared" si="0"/>
        <v>1610</v>
      </c>
      <c r="L15">
        <v>14</v>
      </c>
      <c r="P15" s="12"/>
    </row>
    <row r="16" spans="1:16" x14ac:dyDescent="0.25">
      <c r="A16">
        <v>15</v>
      </c>
      <c r="B16">
        <f>SUM($D$3:D16)</f>
        <v>61375</v>
      </c>
      <c r="C16">
        <f>SUM($E$3:F16)</f>
        <v>12275</v>
      </c>
      <c r="D16">
        <v>8925</v>
      </c>
      <c r="E16">
        <f t="shared" si="0"/>
        <v>1785</v>
      </c>
      <c r="L16">
        <v>15</v>
      </c>
      <c r="P16" s="12"/>
    </row>
    <row r="17" spans="1:16" x14ac:dyDescent="0.25">
      <c r="A17">
        <v>16</v>
      </c>
      <c r="B17">
        <f>SUM($D$3:D17)</f>
        <v>71200</v>
      </c>
      <c r="C17">
        <f>SUM($E$3:F17)</f>
        <v>14240</v>
      </c>
      <c r="D17">
        <v>9825</v>
      </c>
      <c r="E17">
        <f t="shared" si="0"/>
        <v>1965</v>
      </c>
      <c r="L17">
        <v>16</v>
      </c>
      <c r="P17" s="12"/>
    </row>
    <row r="18" spans="1:16" x14ac:dyDescent="0.25">
      <c r="A18">
        <v>17</v>
      </c>
      <c r="B18">
        <f>SUM($D$3:D18)</f>
        <v>81950</v>
      </c>
      <c r="C18">
        <f>SUM($E$3:F18)</f>
        <v>16390</v>
      </c>
      <c r="D18">
        <v>10750</v>
      </c>
      <c r="E18">
        <f t="shared" si="0"/>
        <v>2150</v>
      </c>
      <c r="L18">
        <v>17</v>
      </c>
      <c r="P18" s="12"/>
    </row>
    <row r="19" spans="1:16" x14ac:dyDescent="0.25">
      <c r="A19">
        <v>18</v>
      </c>
      <c r="B19">
        <f>SUM($D$3:D19)</f>
        <v>93675</v>
      </c>
      <c r="C19">
        <f>SUM($E$3:F19)</f>
        <v>18735</v>
      </c>
      <c r="D19">
        <v>11725</v>
      </c>
      <c r="E19">
        <f t="shared" si="0"/>
        <v>2345</v>
      </c>
      <c r="L19">
        <v>18</v>
      </c>
      <c r="P19" s="12"/>
    </row>
    <row r="20" spans="1:16" x14ac:dyDescent="0.25">
      <c r="A20">
        <v>19</v>
      </c>
      <c r="B20">
        <f>SUM($D$3:D20)</f>
        <v>106400</v>
      </c>
      <c r="C20">
        <f>SUM($E$3:F20)</f>
        <v>21280</v>
      </c>
      <c r="D20">
        <v>12725</v>
      </c>
      <c r="E20">
        <f t="shared" si="0"/>
        <v>2545</v>
      </c>
      <c r="L20">
        <v>19</v>
      </c>
      <c r="P20" s="12"/>
    </row>
    <row r="21" spans="1:16" x14ac:dyDescent="0.25">
      <c r="A21">
        <v>20</v>
      </c>
      <c r="B21">
        <f>SUM($D$3:D21)</f>
        <v>120175</v>
      </c>
      <c r="C21">
        <f>SUM($E$3:F21)</f>
        <v>44035</v>
      </c>
      <c r="D21">
        <v>13775</v>
      </c>
      <c r="E21">
        <f t="shared" si="0"/>
        <v>2755</v>
      </c>
      <c r="F21">
        <v>20000</v>
      </c>
      <c r="L21">
        <v>20</v>
      </c>
      <c r="P21" s="12"/>
    </row>
    <row r="22" spans="1:16" x14ac:dyDescent="0.25">
      <c r="A22">
        <v>21</v>
      </c>
      <c r="B22">
        <f>SUM($D$3:D22)</f>
        <v>135050</v>
      </c>
      <c r="C22">
        <f>SUM($E$3:F22)</f>
        <v>47010</v>
      </c>
      <c r="D22">
        <v>14875</v>
      </c>
      <c r="E22">
        <f t="shared" si="0"/>
        <v>2975</v>
      </c>
      <c r="L22" t="s">
        <v>416</v>
      </c>
      <c r="P22" s="12"/>
    </row>
    <row r="23" spans="1:16" x14ac:dyDescent="0.25">
      <c r="A23">
        <v>22</v>
      </c>
      <c r="B23">
        <f>SUM($D$3:D23)</f>
        <v>151850</v>
      </c>
      <c r="C23">
        <f>SUM($E$3:F23)</f>
        <v>50370</v>
      </c>
      <c r="D23">
        <v>16800</v>
      </c>
      <c r="E23">
        <f t="shared" si="0"/>
        <v>3360</v>
      </c>
      <c r="L23">
        <v>21</v>
      </c>
      <c r="P23" s="12"/>
    </row>
    <row r="24" spans="1:16" x14ac:dyDescent="0.25">
      <c r="A24">
        <v>23</v>
      </c>
      <c r="B24">
        <f>SUM($D$3:D24)</f>
        <v>169850</v>
      </c>
      <c r="C24">
        <f>SUM($E$3:F24)</f>
        <v>53970</v>
      </c>
      <c r="D24">
        <v>18000</v>
      </c>
      <c r="E24">
        <f t="shared" si="0"/>
        <v>3600</v>
      </c>
      <c r="L24">
        <v>22</v>
      </c>
      <c r="P24" s="12"/>
    </row>
    <row r="25" spans="1:16" x14ac:dyDescent="0.25">
      <c r="A25">
        <v>24</v>
      </c>
      <c r="B25">
        <f>SUM($D$3:D25)</f>
        <v>189100</v>
      </c>
      <c r="C25">
        <f>SUM($E$3:F25)</f>
        <v>57820</v>
      </c>
      <c r="D25">
        <v>19250</v>
      </c>
      <c r="E25">
        <f t="shared" si="0"/>
        <v>3850</v>
      </c>
      <c r="L25">
        <v>23</v>
      </c>
      <c r="P25" s="12"/>
    </row>
    <row r="26" spans="1:16" x14ac:dyDescent="0.25">
      <c r="A26">
        <v>25</v>
      </c>
      <c r="B26">
        <f>SUM($D$3:D26)</f>
        <v>209650</v>
      </c>
      <c r="C26">
        <f>SUM($E$3:F26)</f>
        <v>61930</v>
      </c>
      <c r="D26">
        <v>20550</v>
      </c>
      <c r="E26">
        <f t="shared" si="0"/>
        <v>4110</v>
      </c>
      <c r="L26">
        <v>24</v>
      </c>
      <c r="P26" s="12"/>
    </row>
    <row r="27" spans="1:16" x14ac:dyDescent="0.25">
      <c r="A27">
        <v>26</v>
      </c>
      <c r="B27">
        <f>SUM($D$3:D27)</f>
        <v>231525</v>
      </c>
      <c r="C27">
        <f>SUM($E$3:F27)</f>
        <v>66305</v>
      </c>
      <c r="D27">
        <v>21875</v>
      </c>
      <c r="E27">
        <f t="shared" si="0"/>
        <v>4375</v>
      </c>
      <c r="L27">
        <v>25</v>
      </c>
      <c r="P27" s="12"/>
    </row>
    <row r="28" spans="1:16" x14ac:dyDescent="0.25">
      <c r="A28">
        <v>27</v>
      </c>
      <c r="B28">
        <f>SUM($D$3:D28)</f>
        <v>254775</v>
      </c>
      <c r="C28">
        <f>SUM($E$3:F28)</f>
        <v>70955</v>
      </c>
      <c r="D28">
        <v>23250</v>
      </c>
      <c r="E28">
        <f t="shared" si="0"/>
        <v>4650</v>
      </c>
      <c r="L28">
        <v>26</v>
      </c>
      <c r="P28" s="12"/>
    </row>
    <row r="29" spans="1:16" x14ac:dyDescent="0.25">
      <c r="A29">
        <v>28</v>
      </c>
      <c r="B29">
        <f>SUM($D$3:D29)</f>
        <v>279425</v>
      </c>
      <c r="C29">
        <f>SUM($E$3:F29)</f>
        <v>75885</v>
      </c>
      <c r="D29">
        <v>24650</v>
      </c>
      <c r="E29">
        <f t="shared" si="0"/>
        <v>4930</v>
      </c>
      <c r="L29">
        <v>27</v>
      </c>
      <c r="P29" s="12"/>
    </row>
    <row r="30" spans="1:16" x14ac:dyDescent="0.25">
      <c r="A30">
        <v>29</v>
      </c>
      <c r="B30">
        <f>SUM($D$3:D30)</f>
        <v>305525</v>
      </c>
      <c r="C30">
        <f>SUM($E$3:F30)</f>
        <v>81105</v>
      </c>
      <c r="D30">
        <v>26100</v>
      </c>
      <c r="E30">
        <f t="shared" si="0"/>
        <v>5220</v>
      </c>
      <c r="L30">
        <v>28</v>
      </c>
      <c r="P30" s="12"/>
    </row>
    <row r="31" spans="1:16" x14ac:dyDescent="0.25">
      <c r="A31">
        <v>30</v>
      </c>
      <c r="B31">
        <f>SUM($D$3:D31)</f>
        <v>333100</v>
      </c>
      <c r="C31">
        <f>SUM($E$3:F31)</f>
        <v>86620</v>
      </c>
      <c r="D31">
        <v>27575</v>
      </c>
      <c r="E31">
        <f t="shared" si="0"/>
        <v>5515</v>
      </c>
      <c r="L31">
        <v>29</v>
      </c>
      <c r="P31" s="12"/>
    </row>
    <row r="32" spans="1:16" x14ac:dyDescent="0.25">
      <c r="A32">
        <v>31</v>
      </c>
      <c r="B32">
        <f>SUM($D$3:D32)</f>
        <v>362200</v>
      </c>
      <c r="C32">
        <f>SUM($E$3:F32)</f>
        <v>92440</v>
      </c>
      <c r="D32">
        <v>29100</v>
      </c>
      <c r="E32">
        <f t="shared" si="0"/>
        <v>5820</v>
      </c>
      <c r="L32">
        <v>30</v>
      </c>
      <c r="P32" s="12"/>
    </row>
    <row r="33" spans="1:16" x14ac:dyDescent="0.25">
      <c r="A33">
        <v>32</v>
      </c>
      <c r="B33">
        <f>SUM($D$3:D33)</f>
        <v>392850</v>
      </c>
      <c r="C33">
        <f>SUM($E$3:F33)</f>
        <v>98570</v>
      </c>
      <c r="D33">
        <v>30650</v>
      </c>
      <c r="E33">
        <f t="shared" si="0"/>
        <v>6130</v>
      </c>
      <c r="L33">
        <v>31</v>
      </c>
      <c r="P33" s="12"/>
    </row>
    <row r="34" spans="1:16" x14ac:dyDescent="0.25">
      <c r="A34">
        <v>33</v>
      </c>
      <c r="B34">
        <f>SUM($D$3:D34)</f>
        <v>425100</v>
      </c>
      <c r="C34">
        <f>SUM($E$3:F34)</f>
        <v>105020</v>
      </c>
      <c r="D34">
        <v>32250</v>
      </c>
      <c r="E34">
        <f t="shared" si="0"/>
        <v>6450</v>
      </c>
      <c r="L34">
        <v>32</v>
      </c>
      <c r="P34" s="12"/>
    </row>
    <row r="35" spans="1:16" x14ac:dyDescent="0.25">
      <c r="A35">
        <v>34</v>
      </c>
      <c r="B35">
        <f>SUM($D$3:D35)</f>
        <v>458975</v>
      </c>
      <c r="C35">
        <f>SUM($E$3:F35)</f>
        <v>111795</v>
      </c>
      <c r="D35">
        <v>33875</v>
      </c>
      <c r="E35">
        <f t="shared" si="0"/>
        <v>6775</v>
      </c>
      <c r="L35">
        <v>33</v>
      </c>
      <c r="P35" s="12"/>
    </row>
    <row r="36" spans="1:16" x14ac:dyDescent="0.25">
      <c r="A36">
        <v>35</v>
      </c>
      <c r="B36">
        <f>SUM($D$3:D36)</f>
        <v>494525</v>
      </c>
      <c r="C36">
        <f>SUM($E$3:F36)</f>
        <v>118905</v>
      </c>
      <c r="D36">
        <v>35550</v>
      </c>
      <c r="E36">
        <f t="shared" si="0"/>
        <v>7110</v>
      </c>
      <c r="L36">
        <v>34</v>
      </c>
      <c r="P36" s="12"/>
    </row>
    <row r="37" spans="1:16" x14ac:dyDescent="0.25">
      <c r="A37">
        <v>36</v>
      </c>
      <c r="B37">
        <f>SUM($D$3:D37)</f>
        <v>531775</v>
      </c>
      <c r="C37">
        <f>SUM($E$3:F37)</f>
        <v>126355</v>
      </c>
      <c r="D37">
        <v>37250</v>
      </c>
      <c r="E37">
        <f t="shared" si="0"/>
        <v>7450</v>
      </c>
      <c r="L37">
        <v>35</v>
      </c>
      <c r="P37" s="12"/>
    </row>
    <row r="38" spans="1:16" x14ac:dyDescent="0.25">
      <c r="A38">
        <v>37</v>
      </c>
      <c r="B38">
        <f>SUM($D$3:D38)</f>
        <v>570750</v>
      </c>
      <c r="C38">
        <f>SUM($E$3:F38)</f>
        <v>134150</v>
      </c>
      <c r="D38">
        <v>38975</v>
      </c>
      <c r="E38">
        <f t="shared" si="0"/>
        <v>7795</v>
      </c>
      <c r="L38">
        <v>36</v>
      </c>
      <c r="P38" s="12"/>
    </row>
    <row r="39" spans="1:16" x14ac:dyDescent="0.25">
      <c r="A39">
        <v>38</v>
      </c>
      <c r="B39">
        <f>SUM($D$3:D39)</f>
        <v>611500</v>
      </c>
      <c r="C39">
        <f>SUM($E$3:F39)</f>
        <v>142300</v>
      </c>
      <c r="D39">
        <v>40750</v>
      </c>
      <c r="E39">
        <f t="shared" si="0"/>
        <v>8150</v>
      </c>
      <c r="L39">
        <v>37</v>
      </c>
      <c r="P39" s="12"/>
    </row>
    <row r="40" spans="1:16" x14ac:dyDescent="0.25">
      <c r="A40">
        <v>39</v>
      </c>
      <c r="B40">
        <f>SUM($D$3:D40)</f>
        <v>654075</v>
      </c>
      <c r="C40">
        <f>SUM($E$3:F40)</f>
        <v>150815</v>
      </c>
      <c r="D40">
        <v>42575</v>
      </c>
      <c r="E40">
        <f t="shared" si="0"/>
        <v>8515</v>
      </c>
      <c r="L40">
        <v>38</v>
      </c>
      <c r="P40" s="12"/>
    </row>
    <row r="41" spans="1:16" x14ac:dyDescent="0.25">
      <c r="A41">
        <v>40</v>
      </c>
      <c r="B41">
        <f>SUM($D$3:D41)</f>
        <v>698500</v>
      </c>
      <c r="C41">
        <f>SUM($E$3:F41)</f>
        <v>199700</v>
      </c>
      <c r="D41">
        <v>44425</v>
      </c>
      <c r="E41">
        <f t="shared" si="0"/>
        <v>8885</v>
      </c>
      <c r="F41">
        <v>40000</v>
      </c>
      <c r="H41">
        <f>C41-C21</f>
        <v>155665</v>
      </c>
      <c r="L41">
        <v>39</v>
      </c>
      <c r="P41" s="12"/>
    </row>
    <row r="42" spans="1:16" x14ac:dyDescent="0.25">
      <c r="A42">
        <v>41</v>
      </c>
      <c r="B42">
        <f>SUM($D$3:D42)</f>
        <v>744800</v>
      </c>
      <c r="C42">
        <f>SUM($E$3:F42)</f>
        <v>208960</v>
      </c>
      <c r="D42">
        <v>46300</v>
      </c>
      <c r="E42">
        <f t="shared" si="0"/>
        <v>9260</v>
      </c>
      <c r="L42">
        <v>40</v>
      </c>
      <c r="P42" s="12"/>
    </row>
    <row r="43" spans="1:16" x14ac:dyDescent="0.25">
      <c r="A43">
        <v>42</v>
      </c>
      <c r="B43">
        <f>SUM($D$3:D43)</f>
        <v>795425</v>
      </c>
      <c r="C43">
        <f>SUM($E$3:F43)</f>
        <v>219085</v>
      </c>
      <c r="D43">
        <v>50625</v>
      </c>
      <c r="E43">
        <f t="shared" si="0"/>
        <v>10125</v>
      </c>
      <c r="L43" t="s">
        <v>417</v>
      </c>
      <c r="P43" s="12"/>
    </row>
    <row r="44" spans="1:16" x14ac:dyDescent="0.25">
      <c r="A44">
        <v>43</v>
      </c>
      <c r="B44">
        <f>SUM($D$3:D44)</f>
        <v>848125</v>
      </c>
      <c r="C44">
        <f>SUM($E$3:F44)</f>
        <v>229625</v>
      </c>
      <c r="D44">
        <v>52700</v>
      </c>
      <c r="E44">
        <f t="shared" si="0"/>
        <v>10540</v>
      </c>
      <c r="L44">
        <v>41</v>
      </c>
      <c r="P44" s="12"/>
    </row>
    <row r="45" spans="1:16" x14ac:dyDescent="0.25">
      <c r="A45">
        <v>44</v>
      </c>
      <c r="B45">
        <f>SUM($D$3:D45)</f>
        <v>902900</v>
      </c>
      <c r="C45">
        <f>SUM($E$3:F45)</f>
        <v>240580</v>
      </c>
      <c r="D45">
        <v>54775</v>
      </c>
      <c r="E45">
        <f t="shared" si="0"/>
        <v>10955</v>
      </c>
      <c r="L45">
        <v>42</v>
      </c>
      <c r="P45" s="12"/>
    </row>
    <row r="46" spans="1:16" x14ac:dyDescent="0.25">
      <c r="A46">
        <v>45</v>
      </c>
      <c r="B46">
        <f>SUM($D$3:D46)</f>
        <v>959800</v>
      </c>
      <c r="C46">
        <f>SUM($E$3:F46)</f>
        <v>251960</v>
      </c>
      <c r="D46">
        <v>56900</v>
      </c>
      <c r="E46">
        <f t="shared" si="0"/>
        <v>11380</v>
      </c>
      <c r="L46">
        <v>43</v>
      </c>
      <c r="P46" s="12"/>
    </row>
    <row r="47" spans="1:16" x14ac:dyDescent="0.25">
      <c r="A47">
        <v>46</v>
      </c>
      <c r="B47">
        <f>SUM($D$3:D47)</f>
        <v>1018875</v>
      </c>
      <c r="C47">
        <f>SUM($E$3:F47)</f>
        <v>263775</v>
      </c>
      <c r="D47">
        <v>59075</v>
      </c>
      <c r="E47">
        <f t="shared" si="0"/>
        <v>11815</v>
      </c>
      <c r="L47">
        <v>44</v>
      </c>
      <c r="P47" s="12"/>
    </row>
    <row r="48" spans="1:16" x14ac:dyDescent="0.25">
      <c r="A48">
        <v>47</v>
      </c>
      <c r="B48">
        <f>SUM($D$3:D48)</f>
        <v>1080150</v>
      </c>
      <c r="C48">
        <f>SUM($E$3:F48)</f>
        <v>276030</v>
      </c>
      <c r="D48">
        <v>61275</v>
      </c>
      <c r="E48">
        <f t="shared" si="0"/>
        <v>12255</v>
      </c>
      <c r="L48">
        <v>45</v>
      </c>
      <c r="P48" s="12"/>
    </row>
    <row r="49" spans="1:16" x14ac:dyDescent="0.25">
      <c r="A49">
        <v>48</v>
      </c>
      <c r="B49">
        <f>SUM($D$3:D49)</f>
        <v>1143675</v>
      </c>
      <c r="C49">
        <f>SUM($E$3:F49)</f>
        <v>288735</v>
      </c>
      <c r="D49">
        <v>63525</v>
      </c>
      <c r="E49">
        <f t="shared" si="0"/>
        <v>12705</v>
      </c>
      <c r="L49">
        <v>46</v>
      </c>
      <c r="P49" s="12"/>
    </row>
    <row r="50" spans="1:16" x14ac:dyDescent="0.25">
      <c r="A50">
        <v>49</v>
      </c>
      <c r="B50">
        <f>SUM($D$3:D50)</f>
        <v>1209475</v>
      </c>
      <c r="C50">
        <f>SUM($E$3:F50)</f>
        <v>301895</v>
      </c>
      <c r="D50">
        <v>65800</v>
      </c>
      <c r="E50">
        <f t="shared" si="0"/>
        <v>13160</v>
      </c>
      <c r="L50">
        <v>47</v>
      </c>
      <c r="P50" s="12"/>
    </row>
    <row r="51" spans="1:16" x14ac:dyDescent="0.25">
      <c r="A51">
        <v>50</v>
      </c>
      <c r="B51">
        <f>SUM($D$3:D51)</f>
        <v>1277600</v>
      </c>
      <c r="C51">
        <f>SUM($E$3:F51)</f>
        <v>375520</v>
      </c>
      <c r="D51">
        <v>68125</v>
      </c>
      <c r="E51">
        <f t="shared" si="0"/>
        <v>13625</v>
      </c>
      <c r="F51">
        <v>60000</v>
      </c>
      <c r="L51">
        <v>48</v>
      </c>
      <c r="P51" s="12"/>
    </row>
    <row r="52" spans="1:16" x14ac:dyDescent="0.25">
      <c r="A52">
        <v>51</v>
      </c>
      <c r="B52">
        <f>SUM($D$3:D52)</f>
        <v>1348075</v>
      </c>
      <c r="C52">
        <f>SUM($E$3:F52)</f>
        <v>389615</v>
      </c>
      <c r="D52">
        <v>70475</v>
      </c>
      <c r="E52">
        <f t="shared" si="0"/>
        <v>14095</v>
      </c>
      <c r="L52">
        <v>49</v>
      </c>
      <c r="P52" s="12"/>
    </row>
    <row r="53" spans="1:16" x14ac:dyDescent="0.25">
      <c r="A53">
        <v>52</v>
      </c>
      <c r="B53">
        <f>SUM($D$3:D53)</f>
        <v>1424575</v>
      </c>
      <c r="C53">
        <f>SUM($E$3:F53)</f>
        <v>404915</v>
      </c>
      <c r="D53">
        <v>76500</v>
      </c>
      <c r="E53">
        <f t="shared" si="0"/>
        <v>15300</v>
      </c>
      <c r="L53">
        <v>50</v>
      </c>
      <c r="P53" s="12"/>
    </row>
    <row r="54" spans="1:16" x14ac:dyDescent="0.25">
      <c r="A54">
        <v>53</v>
      </c>
      <c r="B54">
        <f>SUM($D$3:D54)</f>
        <v>1503625</v>
      </c>
      <c r="C54">
        <f>SUM($E$3:F54)</f>
        <v>420725</v>
      </c>
      <c r="D54">
        <v>79050</v>
      </c>
      <c r="E54">
        <f t="shared" si="0"/>
        <v>15810</v>
      </c>
      <c r="L54" t="s">
        <v>418</v>
      </c>
      <c r="P54" s="12"/>
    </row>
    <row r="55" spans="1:16" x14ac:dyDescent="0.25">
      <c r="A55">
        <v>54</v>
      </c>
      <c r="B55">
        <f>SUM($D$3:D55)</f>
        <v>1585275</v>
      </c>
      <c r="C55">
        <f>SUM($E$3:F55)</f>
        <v>437055</v>
      </c>
      <c r="D55">
        <v>81650</v>
      </c>
      <c r="E55">
        <f t="shared" si="0"/>
        <v>16330</v>
      </c>
      <c r="L55">
        <v>51</v>
      </c>
      <c r="P55" s="12"/>
    </row>
    <row r="56" spans="1:16" x14ac:dyDescent="0.25">
      <c r="A56">
        <v>55</v>
      </c>
      <c r="B56">
        <f>SUM($D$3:D56)</f>
        <v>1669550</v>
      </c>
      <c r="C56">
        <f>SUM($E$3:F56)</f>
        <v>453910</v>
      </c>
      <c r="D56">
        <v>84275</v>
      </c>
      <c r="E56">
        <f t="shared" si="0"/>
        <v>16855</v>
      </c>
      <c r="L56">
        <v>52</v>
      </c>
      <c r="P56" s="12"/>
    </row>
    <row r="57" spans="1:16" x14ac:dyDescent="0.25">
      <c r="A57">
        <v>56</v>
      </c>
      <c r="B57">
        <f>SUM($D$3:D57)</f>
        <v>1756500</v>
      </c>
      <c r="C57">
        <f>SUM($E$3:F57)</f>
        <v>471300</v>
      </c>
      <c r="D57">
        <v>86950</v>
      </c>
      <c r="E57">
        <f t="shared" si="0"/>
        <v>17390</v>
      </c>
      <c r="L57">
        <v>53</v>
      </c>
      <c r="P57" s="12"/>
    </row>
    <row r="58" spans="1:16" x14ac:dyDescent="0.25">
      <c r="A58">
        <v>57</v>
      </c>
      <c r="B58">
        <f>SUM($D$3:D58)</f>
        <v>1846150</v>
      </c>
      <c r="C58">
        <f>SUM($E$3:F58)</f>
        <v>489230</v>
      </c>
      <c r="D58">
        <v>89650</v>
      </c>
      <c r="E58">
        <f t="shared" si="0"/>
        <v>17930</v>
      </c>
      <c r="L58">
        <v>54</v>
      </c>
      <c r="P58" s="12"/>
    </row>
    <row r="59" spans="1:16" x14ac:dyDescent="0.25">
      <c r="A59">
        <v>58</v>
      </c>
      <c r="B59">
        <f>SUM($D$3:D59)</f>
        <v>1938550</v>
      </c>
      <c r="C59">
        <f>SUM($E$3:F59)</f>
        <v>507710</v>
      </c>
      <c r="D59">
        <v>92400</v>
      </c>
      <c r="E59">
        <f t="shared" si="0"/>
        <v>18480</v>
      </c>
      <c r="L59">
        <v>55</v>
      </c>
      <c r="P59" s="12"/>
    </row>
    <row r="60" spans="1:16" x14ac:dyDescent="0.25">
      <c r="A60">
        <v>59</v>
      </c>
      <c r="B60">
        <f>SUM($D$3:D60)</f>
        <v>2033725</v>
      </c>
      <c r="C60">
        <f>SUM($E$3:F60)</f>
        <v>526745</v>
      </c>
      <c r="D60">
        <v>95175</v>
      </c>
      <c r="E60">
        <f t="shared" si="0"/>
        <v>19035</v>
      </c>
      <c r="L60">
        <v>56</v>
      </c>
      <c r="P60" s="12"/>
    </row>
    <row r="61" spans="1:16" x14ac:dyDescent="0.25">
      <c r="A61">
        <v>60</v>
      </c>
      <c r="B61">
        <f>SUM($D$3:D61)</f>
        <v>2131725</v>
      </c>
      <c r="C61">
        <f>SUM($E$3:F61)</f>
        <v>626345</v>
      </c>
      <c r="D61">
        <v>98000</v>
      </c>
      <c r="E61">
        <f t="shared" si="0"/>
        <v>19600</v>
      </c>
      <c r="F61">
        <v>80000</v>
      </c>
      <c r="L61">
        <v>57</v>
      </c>
      <c r="P61" s="12"/>
    </row>
    <row r="62" spans="1:16" x14ac:dyDescent="0.25">
      <c r="A62">
        <v>61</v>
      </c>
      <c r="B62">
        <f>SUM($D$3:D62)</f>
        <v>2232600</v>
      </c>
      <c r="C62">
        <f>SUM($E$3:F62)</f>
        <v>646520</v>
      </c>
      <c r="D62">
        <v>100875</v>
      </c>
      <c r="E62">
        <f t="shared" si="0"/>
        <v>20175</v>
      </c>
      <c r="L62">
        <v>58</v>
      </c>
      <c r="P62" s="12"/>
    </row>
    <row r="63" spans="1:16" x14ac:dyDescent="0.25">
      <c r="A63">
        <v>62</v>
      </c>
      <c r="B63">
        <f>SUM($D$3:D63)</f>
        <v>2341550</v>
      </c>
      <c r="C63">
        <f>SUM($E$3:F63)</f>
        <v>668310</v>
      </c>
      <c r="D63">
        <v>108950</v>
      </c>
      <c r="E63">
        <f t="shared" si="0"/>
        <v>21790</v>
      </c>
      <c r="L63">
        <v>59</v>
      </c>
      <c r="P63" s="12"/>
    </row>
    <row r="64" spans="1:16" x14ac:dyDescent="0.25">
      <c r="A64">
        <v>63</v>
      </c>
      <c r="B64">
        <f>SUM($D$3:D64)</f>
        <v>2453600</v>
      </c>
      <c r="C64">
        <f>SUM($E$3:F64)</f>
        <v>690720</v>
      </c>
      <c r="D64">
        <v>112050</v>
      </c>
      <c r="E64">
        <f t="shared" si="0"/>
        <v>22410</v>
      </c>
      <c r="L64">
        <v>60</v>
      </c>
      <c r="P64" s="12"/>
    </row>
    <row r="65" spans="1:16" x14ac:dyDescent="0.25">
      <c r="A65">
        <v>64</v>
      </c>
      <c r="B65">
        <f>SUM($D$3:D65)</f>
        <v>2568775</v>
      </c>
      <c r="C65">
        <f>SUM($E$3:F65)</f>
        <v>713755</v>
      </c>
      <c r="D65">
        <v>115175</v>
      </c>
      <c r="E65">
        <f t="shared" si="0"/>
        <v>23035</v>
      </c>
      <c r="L65" t="s">
        <v>419</v>
      </c>
      <c r="P65" s="12"/>
    </row>
    <row r="66" spans="1:16" x14ac:dyDescent="0.25">
      <c r="A66">
        <v>65</v>
      </c>
      <c r="B66">
        <f>SUM($D$3:D66)</f>
        <v>2687100</v>
      </c>
      <c r="C66">
        <f>SUM($E$3:F66)</f>
        <v>737420</v>
      </c>
      <c r="D66">
        <v>118325</v>
      </c>
      <c r="E66">
        <f t="shared" si="0"/>
        <v>23665</v>
      </c>
      <c r="L66">
        <v>61</v>
      </c>
      <c r="P66" s="12"/>
    </row>
    <row r="67" spans="1:16" x14ac:dyDescent="0.25">
      <c r="A67">
        <v>66</v>
      </c>
      <c r="B67">
        <f>SUM($D$3:D67)</f>
        <v>2808625</v>
      </c>
      <c r="C67">
        <f>SUM($E$3:F67)</f>
        <v>761725</v>
      </c>
      <c r="D67">
        <v>121525</v>
      </c>
      <c r="E67">
        <f t="shared" si="0"/>
        <v>24305</v>
      </c>
      <c r="L67">
        <v>62</v>
      </c>
      <c r="P67" s="12"/>
    </row>
    <row r="68" spans="1:16" x14ac:dyDescent="0.25">
      <c r="A68">
        <v>67</v>
      </c>
      <c r="B68">
        <f>SUM($D$3:D68)</f>
        <v>2933400</v>
      </c>
      <c r="C68">
        <f>SUM($E$3:F68)</f>
        <v>786680</v>
      </c>
      <c r="D68">
        <v>124775</v>
      </c>
      <c r="E68">
        <f t="shared" ref="E68:E91" si="1">D68/5</f>
        <v>24955</v>
      </c>
      <c r="L68">
        <v>63</v>
      </c>
      <c r="P68" s="12"/>
    </row>
    <row r="69" spans="1:16" x14ac:dyDescent="0.25">
      <c r="A69">
        <v>68</v>
      </c>
      <c r="B69">
        <f>SUM($D$3:D69)</f>
        <v>3061475</v>
      </c>
      <c r="C69">
        <f>SUM($E$3:F69)</f>
        <v>812295</v>
      </c>
      <c r="D69">
        <v>128075</v>
      </c>
      <c r="E69">
        <f t="shared" si="1"/>
        <v>25615</v>
      </c>
      <c r="L69">
        <v>64</v>
      </c>
      <c r="P69" s="12"/>
    </row>
    <row r="70" spans="1:16" x14ac:dyDescent="0.25">
      <c r="A70">
        <v>69</v>
      </c>
      <c r="B70">
        <f>SUM($D$3:D70)</f>
        <v>3192875</v>
      </c>
      <c r="C70">
        <f>SUM($E$3:F70)</f>
        <v>838575</v>
      </c>
      <c r="D70">
        <v>131400</v>
      </c>
      <c r="E70">
        <f t="shared" si="1"/>
        <v>26280</v>
      </c>
      <c r="L70">
        <v>65</v>
      </c>
      <c r="P70" s="12"/>
    </row>
    <row r="71" spans="1:16" x14ac:dyDescent="0.25">
      <c r="A71">
        <v>70</v>
      </c>
      <c r="B71">
        <f>SUM($D$3:D71)</f>
        <v>3327650</v>
      </c>
      <c r="C71">
        <f>SUM($E$3:F71)</f>
        <v>965530</v>
      </c>
      <c r="D71">
        <v>134775</v>
      </c>
      <c r="E71">
        <f t="shared" si="1"/>
        <v>26955</v>
      </c>
      <c r="F71">
        <v>100000</v>
      </c>
      <c r="L71">
        <v>66</v>
      </c>
      <c r="P71" s="12"/>
    </row>
    <row r="72" spans="1:16" x14ac:dyDescent="0.25">
      <c r="A72">
        <v>71</v>
      </c>
      <c r="B72">
        <f>SUM($D$3:D72)</f>
        <v>3465825</v>
      </c>
      <c r="C72">
        <f>SUM($E$3:F72)</f>
        <v>993165</v>
      </c>
      <c r="D72">
        <v>138175</v>
      </c>
      <c r="E72">
        <f t="shared" si="1"/>
        <v>27635</v>
      </c>
      <c r="L72">
        <v>67</v>
      </c>
      <c r="P72" s="12"/>
    </row>
    <row r="73" spans="1:16" x14ac:dyDescent="0.25">
      <c r="A73">
        <v>72</v>
      </c>
      <c r="B73">
        <f>SUM($D$3:D73)</f>
        <v>3614525</v>
      </c>
      <c r="C73">
        <f>SUM($E$3:F73)</f>
        <v>1022905</v>
      </c>
      <c r="D73">
        <v>148700</v>
      </c>
      <c r="E73">
        <f t="shared" si="1"/>
        <v>29740</v>
      </c>
      <c r="L73">
        <v>68</v>
      </c>
      <c r="P73" s="12"/>
    </row>
    <row r="74" spans="1:16" x14ac:dyDescent="0.25">
      <c r="A74">
        <v>73</v>
      </c>
      <c r="B74">
        <f>SUM($D$3:D74)</f>
        <v>3766900</v>
      </c>
      <c r="C74">
        <f>SUM($E$3:F74)</f>
        <v>1053380</v>
      </c>
      <c r="D74">
        <v>152375</v>
      </c>
      <c r="E74">
        <f t="shared" si="1"/>
        <v>30475</v>
      </c>
      <c r="L74">
        <v>69</v>
      </c>
      <c r="P74" s="12"/>
    </row>
    <row r="75" spans="1:16" x14ac:dyDescent="0.25">
      <c r="A75">
        <v>74</v>
      </c>
      <c r="B75">
        <f>SUM($D$3:D75)</f>
        <v>3922975</v>
      </c>
      <c r="C75">
        <f>SUM($E$3:F75)</f>
        <v>1084595</v>
      </c>
      <c r="D75">
        <v>156075</v>
      </c>
      <c r="E75">
        <f t="shared" si="1"/>
        <v>31215</v>
      </c>
      <c r="L75">
        <v>70</v>
      </c>
      <c r="P75" s="12"/>
    </row>
    <row r="76" spans="1:16" x14ac:dyDescent="0.25">
      <c r="A76">
        <v>75</v>
      </c>
      <c r="B76">
        <f>SUM($D$3:D76)</f>
        <v>4082800</v>
      </c>
      <c r="C76">
        <f>SUM($E$3:F76)</f>
        <v>1116560</v>
      </c>
      <c r="D76">
        <v>159825</v>
      </c>
      <c r="E76">
        <f t="shared" si="1"/>
        <v>31965</v>
      </c>
      <c r="L76" t="s">
        <v>420</v>
      </c>
      <c r="P76" s="12"/>
    </row>
    <row r="77" spans="1:16" x14ac:dyDescent="0.25">
      <c r="A77">
        <v>76</v>
      </c>
      <c r="B77">
        <f>SUM($D$3:D77)</f>
        <v>4246400</v>
      </c>
      <c r="C77">
        <f>SUM($E$3:F77)</f>
        <v>1149280</v>
      </c>
      <c r="D77">
        <v>163600</v>
      </c>
      <c r="E77">
        <f t="shared" si="1"/>
        <v>32720</v>
      </c>
      <c r="L77">
        <v>71</v>
      </c>
      <c r="P77" s="12"/>
    </row>
    <row r="78" spans="1:16" x14ac:dyDescent="0.25">
      <c r="A78">
        <v>77</v>
      </c>
      <c r="B78">
        <f>SUM($D$3:D78)</f>
        <v>4413825</v>
      </c>
      <c r="C78">
        <f>SUM($E$3:F78)</f>
        <v>1182765</v>
      </c>
      <c r="D78">
        <v>167425</v>
      </c>
      <c r="E78">
        <f t="shared" si="1"/>
        <v>33485</v>
      </c>
      <c r="L78">
        <v>72</v>
      </c>
      <c r="P78" s="12"/>
    </row>
    <row r="79" spans="1:16" x14ac:dyDescent="0.25">
      <c r="A79">
        <v>78</v>
      </c>
      <c r="B79">
        <f>SUM($D$3:D79)</f>
        <v>4585125</v>
      </c>
      <c r="C79">
        <f>SUM($E$3:F79)</f>
        <v>1217025</v>
      </c>
      <c r="D79">
        <v>171300</v>
      </c>
      <c r="E79">
        <f t="shared" si="1"/>
        <v>34260</v>
      </c>
      <c r="L79">
        <v>73</v>
      </c>
      <c r="P79" s="12"/>
    </row>
    <row r="80" spans="1:16" x14ac:dyDescent="0.25">
      <c r="A80">
        <v>79</v>
      </c>
      <c r="B80">
        <f>SUM($D$3:D80)</f>
        <v>4760350</v>
      </c>
      <c r="C80">
        <f>SUM($E$3:F80)</f>
        <v>1252070</v>
      </c>
      <c r="D80">
        <v>175225</v>
      </c>
      <c r="E80">
        <f t="shared" si="1"/>
        <v>35045</v>
      </c>
      <c r="L80">
        <v>74</v>
      </c>
      <c r="P80" s="12"/>
    </row>
    <row r="81" spans="1:16" x14ac:dyDescent="0.25">
      <c r="A81">
        <v>80</v>
      </c>
      <c r="B81">
        <f>SUM($D$3:D81)</f>
        <v>4939525</v>
      </c>
      <c r="C81">
        <f>SUM($E$3:F81)</f>
        <v>1407905</v>
      </c>
      <c r="D81">
        <v>179175</v>
      </c>
      <c r="E81">
        <f t="shared" si="1"/>
        <v>35835</v>
      </c>
      <c r="F81">
        <v>120000</v>
      </c>
      <c r="L81">
        <v>75</v>
      </c>
      <c r="P81" s="12"/>
    </row>
    <row r="82" spans="1:16" x14ac:dyDescent="0.25">
      <c r="A82">
        <v>81</v>
      </c>
      <c r="B82">
        <f>SUM($D$3:D82)</f>
        <v>5122700</v>
      </c>
      <c r="C82">
        <f>SUM($E$3:F82)</f>
        <v>1444540</v>
      </c>
      <c r="D82">
        <v>183175</v>
      </c>
      <c r="E82">
        <f t="shared" si="1"/>
        <v>36635</v>
      </c>
      <c r="L82">
        <v>76</v>
      </c>
      <c r="P82" s="12"/>
    </row>
    <row r="83" spans="1:16" x14ac:dyDescent="0.25">
      <c r="A83">
        <v>82</v>
      </c>
      <c r="B83">
        <f>SUM($D$3:D83)</f>
        <v>5338925</v>
      </c>
      <c r="C83">
        <f>SUM($E$3:F83)</f>
        <v>1487785</v>
      </c>
      <c r="D83">
        <v>216225</v>
      </c>
      <c r="E83">
        <f t="shared" si="1"/>
        <v>43245</v>
      </c>
      <c r="L83">
        <v>77</v>
      </c>
      <c r="P83" s="12"/>
    </row>
    <row r="84" spans="1:16" x14ac:dyDescent="0.25">
      <c r="A84">
        <v>83</v>
      </c>
      <c r="B84">
        <f>SUM($D$3:D84)</f>
        <v>5581950</v>
      </c>
      <c r="C84">
        <f>SUM($E$3:F84)</f>
        <v>1536390</v>
      </c>
      <c r="D84">
        <v>243025</v>
      </c>
      <c r="E84">
        <f t="shared" si="1"/>
        <v>48605</v>
      </c>
      <c r="L84">
        <v>78</v>
      </c>
    </row>
    <row r="85" spans="1:16" x14ac:dyDescent="0.25">
      <c r="A85">
        <v>84</v>
      </c>
      <c r="B85">
        <f>SUM($D$3:D85)</f>
        <v>5855050</v>
      </c>
      <c r="C85">
        <f>SUM($E$3:F85)</f>
        <v>1591010</v>
      </c>
      <c r="D85">
        <v>273100</v>
      </c>
      <c r="E85">
        <f t="shared" si="1"/>
        <v>54620</v>
      </c>
      <c r="L85">
        <v>79</v>
      </c>
    </row>
    <row r="86" spans="1:16" x14ac:dyDescent="0.25">
      <c r="A86">
        <v>85</v>
      </c>
      <c r="B86">
        <f>SUM($D$3:D86)</f>
        <v>6161850</v>
      </c>
      <c r="C86">
        <f>SUM($E$3:F86)</f>
        <v>1652370</v>
      </c>
      <c r="D86">
        <v>306800</v>
      </c>
      <c r="E86">
        <f t="shared" si="1"/>
        <v>61360</v>
      </c>
      <c r="L86">
        <v>80</v>
      </c>
    </row>
    <row r="87" spans="1:16" x14ac:dyDescent="0.25">
      <c r="A87">
        <v>86</v>
      </c>
      <c r="B87">
        <f>SUM($D$3:D87)</f>
        <v>6506450</v>
      </c>
      <c r="C87">
        <f>SUM($E$3:F87)</f>
        <v>1721290</v>
      </c>
      <c r="D87">
        <v>344600</v>
      </c>
      <c r="E87">
        <f t="shared" si="1"/>
        <v>68920</v>
      </c>
      <c r="L87" t="s">
        <v>421</v>
      </c>
    </row>
    <row r="88" spans="1:16" x14ac:dyDescent="0.25">
      <c r="A88">
        <v>87</v>
      </c>
      <c r="B88">
        <f>SUM($D$3:D88)</f>
        <v>6893400</v>
      </c>
      <c r="C88">
        <f>SUM($E$3:F88)</f>
        <v>1798680</v>
      </c>
      <c r="D88">
        <v>386950</v>
      </c>
      <c r="E88">
        <f t="shared" si="1"/>
        <v>77390</v>
      </c>
      <c r="L88">
        <v>81</v>
      </c>
    </row>
    <row r="89" spans="1:16" x14ac:dyDescent="0.25">
      <c r="A89">
        <v>88</v>
      </c>
      <c r="B89">
        <f>SUM($D$3:D89)</f>
        <v>7327825</v>
      </c>
      <c r="C89">
        <f>SUM($E$3:F89)</f>
        <v>1885565</v>
      </c>
      <c r="D89">
        <v>434425</v>
      </c>
      <c r="E89">
        <f t="shared" si="1"/>
        <v>86885</v>
      </c>
      <c r="L89">
        <v>82</v>
      </c>
    </row>
    <row r="90" spans="1:16" x14ac:dyDescent="0.25">
      <c r="A90">
        <v>89</v>
      </c>
      <c r="B90">
        <f>SUM($D$3:D90)</f>
        <v>7815450</v>
      </c>
      <c r="C90">
        <f>SUM($E$3:F90)</f>
        <v>1983090</v>
      </c>
      <c r="D90">
        <v>487625</v>
      </c>
      <c r="E90">
        <f t="shared" si="1"/>
        <v>97525</v>
      </c>
      <c r="L90">
        <v>83</v>
      </c>
    </row>
    <row r="91" spans="1:16" x14ac:dyDescent="0.25">
      <c r="A91">
        <v>90</v>
      </c>
      <c r="B91">
        <f>SUM($D$3:D91)</f>
        <v>8362650</v>
      </c>
      <c r="C91">
        <f>SUM($E$3:F91)</f>
        <v>2092530</v>
      </c>
      <c r="D91">
        <v>547200</v>
      </c>
      <c r="E91">
        <f t="shared" si="1"/>
        <v>109440</v>
      </c>
      <c r="L91">
        <v>84</v>
      </c>
    </row>
    <row r="92" spans="1:16" x14ac:dyDescent="0.25">
      <c r="L92">
        <v>85</v>
      </c>
    </row>
    <row r="93" spans="1:16" x14ac:dyDescent="0.25">
      <c r="L93">
        <v>86</v>
      </c>
    </row>
    <row r="94" spans="1:16" x14ac:dyDescent="0.25">
      <c r="L94">
        <v>87</v>
      </c>
    </row>
    <row r="95" spans="1:16" x14ac:dyDescent="0.25">
      <c r="L95">
        <v>88</v>
      </c>
    </row>
    <row r="96" spans="1:16" x14ac:dyDescent="0.25">
      <c r="L96">
        <v>89</v>
      </c>
    </row>
    <row r="97" spans="12:12" x14ac:dyDescent="0.25">
      <c r="L97">
        <v>90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2A909-D0DD-45E6-A963-1E64B89EC530}">
  <sheetPr codeName="Sheet7"/>
  <dimension ref="A1:K9"/>
  <sheetViews>
    <sheetView workbookViewId="0">
      <pane ySplit="1" topLeftCell="A2" activePane="bottomLeft" state="frozen"/>
      <selection pane="bottomLeft" activeCell="P13" sqref="P13"/>
    </sheetView>
  </sheetViews>
  <sheetFormatPr defaultRowHeight="13.8" x14ac:dyDescent="0.25"/>
  <sheetData>
    <row r="1" spans="1:11" x14ac:dyDescent="0.25">
      <c r="A1" t="s">
        <v>0</v>
      </c>
      <c r="B1" t="s">
        <v>24</v>
      </c>
      <c r="C1" t="s">
        <v>270</v>
      </c>
      <c r="D1" t="s">
        <v>25</v>
      </c>
      <c r="E1" t="s">
        <v>270</v>
      </c>
      <c r="F1" t="s">
        <v>23</v>
      </c>
      <c r="G1" t="s">
        <v>270</v>
      </c>
      <c r="H1" t="s">
        <v>197</v>
      </c>
      <c r="I1" t="s">
        <v>270</v>
      </c>
      <c r="K1" t="s">
        <v>368</v>
      </c>
    </row>
    <row r="2" spans="1:11" x14ac:dyDescent="0.25">
      <c r="A2">
        <v>1</v>
      </c>
      <c r="K2" t="s">
        <v>371</v>
      </c>
    </row>
    <row r="3" spans="1:11" x14ac:dyDescent="0.25">
      <c r="A3">
        <v>20</v>
      </c>
      <c r="B3">
        <v>1</v>
      </c>
      <c r="C3">
        <v>1</v>
      </c>
      <c r="F3">
        <v>1</v>
      </c>
      <c r="G3">
        <v>3</v>
      </c>
      <c r="H3">
        <v>1</v>
      </c>
      <c r="I3">
        <v>3</v>
      </c>
    </row>
    <row r="4" spans="1:11" x14ac:dyDescent="0.25">
      <c r="A4">
        <v>40</v>
      </c>
      <c r="B4">
        <v>2</v>
      </c>
      <c r="C4">
        <v>3</v>
      </c>
      <c r="D4">
        <v>1</v>
      </c>
      <c r="E4">
        <v>2</v>
      </c>
      <c r="F4">
        <v>1</v>
      </c>
      <c r="G4">
        <v>10</v>
      </c>
      <c r="H4">
        <v>1</v>
      </c>
      <c r="I4">
        <v>15</v>
      </c>
    </row>
    <row r="5" spans="1:11" x14ac:dyDescent="0.25">
      <c r="A5">
        <v>50</v>
      </c>
      <c r="B5">
        <v>2</v>
      </c>
      <c r="C5">
        <v>6</v>
      </c>
      <c r="D5">
        <v>1</v>
      </c>
      <c r="E5">
        <v>4</v>
      </c>
      <c r="F5">
        <v>1</v>
      </c>
      <c r="G5">
        <v>20</v>
      </c>
      <c r="H5">
        <v>2</v>
      </c>
      <c r="I5">
        <v>12</v>
      </c>
    </row>
    <row r="6" spans="1:11" x14ac:dyDescent="0.25">
      <c r="A6">
        <v>60</v>
      </c>
      <c r="B6">
        <v>3</v>
      </c>
      <c r="C6">
        <v>3</v>
      </c>
      <c r="D6">
        <v>1</v>
      </c>
      <c r="E6">
        <v>8</v>
      </c>
      <c r="F6">
        <v>1</v>
      </c>
      <c r="G6">
        <v>30</v>
      </c>
      <c r="H6">
        <v>2</v>
      </c>
      <c r="I6">
        <v>18</v>
      </c>
    </row>
    <row r="7" spans="1:11" x14ac:dyDescent="0.25">
      <c r="A7">
        <v>70</v>
      </c>
      <c r="B7">
        <v>3</v>
      </c>
      <c r="C7">
        <v>6</v>
      </c>
      <c r="D7">
        <v>1</v>
      </c>
      <c r="E7">
        <v>12</v>
      </c>
      <c r="F7">
        <v>1</v>
      </c>
      <c r="G7">
        <v>45</v>
      </c>
      <c r="H7">
        <v>3</v>
      </c>
      <c r="I7">
        <v>12</v>
      </c>
    </row>
    <row r="8" spans="1:11" x14ac:dyDescent="0.25">
      <c r="A8">
        <v>80</v>
      </c>
      <c r="B8">
        <v>4</v>
      </c>
      <c r="C8">
        <v>6</v>
      </c>
      <c r="D8">
        <v>1</v>
      </c>
      <c r="E8">
        <v>20</v>
      </c>
      <c r="F8">
        <v>1</v>
      </c>
      <c r="G8">
        <v>60</v>
      </c>
    </row>
    <row r="9" spans="1:11" x14ac:dyDescent="0.25">
      <c r="A9">
        <v>90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C9E90-A228-4A2C-905F-106EE671D393}">
  <sheetPr codeName="Sheet8"/>
  <dimension ref="A1:M11"/>
  <sheetViews>
    <sheetView workbookViewId="0">
      <pane ySplit="1" topLeftCell="A2" activePane="bottomLeft" state="frozen"/>
      <selection pane="bottomLeft"/>
    </sheetView>
  </sheetViews>
  <sheetFormatPr defaultRowHeight="13.8" x14ac:dyDescent="0.25"/>
  <sheetData>
    <row r="1" spans="1:13" s="33" customFormat="1" x14ac:dyDescent="0.25">
      <c r="A1" s="33" t="s">
        <v>0</v>
      </c>
      <c r="B1" s="33" t="s">
        <v>198</v>
      </c>
      <c r="C1" s="33" t="s">
        <v>196</v>
      </c>
      <c r="D1" s="33" t="s">
        <v>199</v>
      </c>
      <c r="E1" s="33" t="s">
        <v>196</v>
      </c>
      <c r="F1" s="33" t="s">
        <v>200</v>
      </c>
      <c r="G1" s="33" t="s">
        <v>196</v>
      </c>
      <c r="H1" s="33" t="s">
        <v>344</v>
      </c>
      <c r="I1" s="33" t="s">
        <v>196</v>
      </c>
      <c r="J1" s="33" t="s">
        <v>3</v>
      </c>
      <c r="K1" s="33" t="s">
        <v>367</v>
      </c>
      <c r="M1" s="33" t="s">
        <v>368</v>
      </c>
    </row>
    <row r="2" spans="1:13" x14ac:dyDescent="0.25">
      <c r="A2">
        <v>1</v>
      </c>
      <c r="M2" t="s">
        <v>372</v>
      </c>
    </row>
    <row r="3" spans="1:13" x14ac:dyDescent="0.25">
      <c r="A3">
        <v>2</v>
      </c>
      <c r="B3">
        <v>1</v>
      </c>
      <c r="C3">
        <v>3</v>
      </c>
      <c r="D3">
        <v>1</v>
      </c>
      <c r="E3">
        <v>6</v>
      </c>
      <c r="J3">
        <v>12500</v>
      </c>
      <c r="K3">
        <v>12500</v>
      </c>
      <c r="M3" t="s">
        <v>373</v>
      </c>
    </row>
    <row r="4" spans="1:13" x14ac:dyDescent="0.25">
      <c r="A4">
        <v>3</v>
      </c>
      <c r="B4">
        <v>2</v>
      </c>
      <c r="C4">
        <v>2</v>
      </c>
      <c r="D4">
        <v>2</v>
      </c>
      <c r="E4">
        <v>3</v>
      </c>
      <c r="J4">
        <v>30000</v>
      </c>
      <c r="K4">
        <f>J4-J3</f>
        <v>17500</v>
      </c>
    </row>
    <row r="5" spans="1:13" x14ac:dyDescent="0.25">
      <c r="A5">
        <v>4</v>
      </c>
      <c r="B5">
        <v>2</v>
      </c>
      <c r="C5">
        <v>4</v>
      </c>
      <c r="D5">
        <v>2</v>
      </c>
      <c r="E5">
        <v>4</v>
      </c>
      <c r="J5">
        <v>55000</v>
      </c>
      <c r="K5">
        <f t="shared" ref="K5:K11" si="0">J5-J4</f>
        <v>25000</v>
      </c>
    </row>
    <row r="6" spans="1:13" x14ac:dyDescent="0.25">
      <c r="A6">
        <v>5</v>
      </c>
      <c r="B6">
        <v>2</v>
      </c>
      <c r="C6">
        <v>6</v>
      </c>
      <c r="D6">
        <v>2</v>
      </c>
      <c r="E6">
        <v>6</v>
      </c>
      <c r="J6">
        <v>85000</v>
      </c>
      <c r="K6">
        <f t="shared" si="0"/>
        <v>30000</v>
      </c>
    </row>
    <row r="7" spans="1:13" x14ac:dyDescent="0.25">
      <c r="A7">
        <v>6</v>
      </c>
      <c r="B7">
        <v>2</v>
      </c>
      <c r="C7">
        <v>9</v>
      </c>
      <c r="D7">
        <v>2</v>
      </c>
      <c r="E7">
        <v>9</v>
      </c>
      <c r="J7">
        <v>122500</v>
      </c>
      <c r="K7">
        <f t="shared" si="0"/>
        <v>37500</v>
      </c>
    </row>
    <row r="8" spans="1:13" x14ac:dyDescent="0.25">
      <c r="A8">
        <v>7</v>
      </c>
      <c r="B8">
        <v>3</v>
      </c>
      <c r="C8">
        <v>4</v>
      </c>
      <c r="D8">
        <v>3</v>
      </c>
      <c r="E8">
        <v>4</v>
      </c>
      <c r="F8">
        <v>1</v>
      </c>
      <c r="G8">
        <v>1</v>
      </c>
      <c r="J8">
        <v>242500</v>
      </c>
      <c r="K8">
        <f t="shared" si="0"/>
        <v>120000</v>
      </c>
    </row>
    <row r="9" spans="1:13" x14ac:dyDescent="0.25">
      <c r="A9">
        <v>8</v>
      </c>
      <c r="B9">
        <v>3</v>
      </c>
      <c r="C9">
        <v>6</v>
      </c>
      <c r="D9">
        <v>3</v>
      </c>
      <c r="E9">
        <v>6</v>
      </c>
      <c r="F9">
        <v>1</v>
      </c>
      <c r="G9">
        <v>1</v>
      </c>
      <c r="J9">
        <v>502500</v>
      </c>
      <c r="K9">
        <f t="shared" si="0"/>
        <v>260000</v>
      </c>
    </row>
    <row r="10" spans="1:13" x14ac:dyDescent="0.25">
      <c r="A10">
        <v>9</v>
      </c>
      <c r="B10">
        <v>3</v>
      </c>
      <c r="C10">
        <v>12</v>
      </c>
      <c r="D10">
        <v>3</v>
      </c>
      <c r="E10">
        <v>9</v>
      </c>
      <c r="F10">
        <v>1</v>
      </c>
      <c r="G10">
        <v>2</v>
      </c>
      <c r="J10">
        <v>952500</v>
      </c>
      <c r="K10">
        <f t="shared" si="0"/>
        <v>450000</v>
      </c>
    </row>
    <row r="11" spans="1:13" x14ac:dyDescent="0.25">
      <c r="A11">
        <v>10</v>
      </c>
      <c r="B11">
        <v>3</v>
      </c>
      <c r="C11">
        <v>16</v>
      </c>
      <c r="D11">
        <v>3</v>
      </c>
      <c r="E11">
        <v>12</v>
      </c>
      <c r="F11">
        <v>1</v>
      </c>
      <c r="G11">
        <v>2</v>
      </c>
      <c r="H11">
        <v>1</v>
      </c>
      <c r="I11">
        <v>1</v>
      </c>
      <c r="J11">
        <v>1652500</v>
      </c>
      <c r="K11">
        <f t="shared" si="0"/>
        <v>700000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CBCD0-20B1-45C7-8357-52A9464FDAF6}">
  <sheetPr codeName="Sheet12"/>
  <dimension ref="A1:L52"/>
  <sheetViews>
    <sheetView workbookViewId="0">
      <pane ySplit="1" topLeftCell="A2" activePane="bottomLeft" state="frozen"/>
      <selection pane="bottomLeft"/>
    </sheetView>
  </sheetViews>
  <sheetFormatPr defaultRowHeight="13.8" x14ac:dyDescent="0.25"/>
  <sheetData>
    <row r="1" spans="1:12" x14ac:dyDescent="0.25">
      <c r="A1" t="s">
        <v>345</v>
      </c>
      <c r="B1" t="s">
        <v>0</v>
      </c>
      <c r="C1" t="s">
        <v>2</v>
      </c>
      <c r="D1" t="s">
        <v>3</v>
      </c>
      <c r="E1" t="s">
        <v>4</v>
      </c>
      <c r="F1" t="s">
        <v>5</v>
      </c>
      <c r="L1" t="s">
        <v>368</v>
      </c>
    </row>
    <row r="2" spans="1:12" x14ac:dyDescent="0.25">
      <c r="A2">
        <v>3</v>
      </c>
      <c r="B2">
        <v>0</v>
      </c>
      <c r="L2" t="s">
        <v>375</v>
      </c>
    </row>
    <row r="3" spans="1:12" x14ac:dyDescent="0.25">
      <c r="A3">
        <v>3</v>
      </c>
      <c r="B3">
        <v>1</v>
      </c>
      <c r="C3">
        <v>1800</v>
      </c>
      <c r="D3">
        <v>1800</v>
      </c>
      <c r="E3">
        <v>1800</v>
      </c>
      <c r="F3">
        <v>1800</v>
      </c>
    </row>
    <row r="4" spans="1:12" x14ac:dyDescent="0.25">
      <c r="A4">
        <v>3</v>
      </c>
      <c r="B4">
        <v>2</v>
      </c>
      <c r="C4">
        <v>4025</v>
      </c>
      <c r="D4">
        <v>4025</v>
      </c>
      <c r="E4">
        <f>C4-C3</f>
        <v>2225</v>
      </c>
      <c r="F4">
        <f>D4-D3</f>
        <v>2225</v>
      </c>
    </row>
    <row r="5" spans="1:12" x14ac:dyDescent="0.25">
      <c r="A5">
        <v>3</v>
      </c>
      <c r="B5">
        <v>3</v>
      </c>
      <c r="C5">
        <v>6675</v>
      </c>
      <c r="D5">
        <v>6675</v>
      </c>
      <c r="E5">
        <f t="shared" ref="E5:E14" si="0">C5-C4</f>
        <v>2650</v>
      </c>
      <c r="F5">
        <f t="shared" ref="F5:F14" si="1">D5-D4</f>
        <v>2650</v>
      </c>
    </row>
    <row r="6" spans="1:12" x14ac:dyDescent="0.25">
      <c r="A6">
        <v>3</v>
      </c>
      <c r="B6">
        <v>4</v>
      </c>
      <c r="C6">
        <v>9775</v>
      </c>
      <c r="D6">
        <v>9775</v>
      </c>
      <c r="E6">
        <f t="shared" si="0"/>
        <v>3100</v>
      </c>
      <c r="F6">
        <f t="shared" si="1"/>
        <v>3100</v>
      </c>
    </row>
    <row r="7" spans="1:12" x14ac:dyDescent="0.25">
      <c r="A7">
        <v>3</v>
      </c>
      <c r="B7">
        <v>5</v>
      </c>
      <c r="C7">
        <v>13325</v>
      </c>
      <c r="D7">
        <v>13325</v>
      </c>
      <c r="E7">
        <f t="shared" si="0"/>
        <v>3550</v>
      </c>
      <c r="F7">
        <f t="shared" si="1"/>
        <v>3550</v>
      </c>
    </row>
    <row r="8" spans="1:12" x14ac:dyDescent="0.25">
      <c r="A8">
        <v>3</v>
      </c>
      <c r="B8">
        <v>6</v>
      </c>
      <c r="C8">
        <v>17325</v>
      </c>
      <c r="D8">
        <v>17325</v>
      </c>
      <c r="E8">
        <f t="shared" si="0"/>
        <v>4000</v>
      </c>
      <c r="F8">
        <f t="shared" si="1"/>
        <v>4000</v>
      </c>
    </row>
    <row r="9" spans="1:12" x14ac:dyDescent="0.25">
      <c r="A9">
        <v>3</v>
      </c>
      <c r="B9">
        <v>7</v>
      </c>
      <c r="C9">
        <v>21825</v>
      </c>
      <c r="D9">
        <v>21825</v>
      </c>
      <c r="E9">
        <f t="shared" si="0"/>
        <v>4500</v>
      </c>
      <c r="F9">
        <f t="shared" si="1"/>
        <v>4500</v>
      </c>
    </row>
    <row r="10" spans="1:12" x14ac:dyDescent="0.25">
      <c r="A10">
        <v>3</v>
      </c>
      <c r="B10">
        <v>8</v>
      </c>
      <c r="C10">
        <v>26825</v>
      </c>
      <c r="D10">
        <v>26825</v>
      </c>
      <c r="E10">
        <f t="shared" si="0"/>
        <v>5000</v>
      </c>
      <c r="F10">
        <f t="shared" si="1"/>
        <v>5000</v>
      </c>
    </row>
    <row r="11" spans="1:12" x14ac:dyDescent="0.25">
      <c r="A11">
        <v>3</v>
      </c>
      <c r="B11">
        <v>9</v>
      </c>
      <c r="C11">
        <v>32350</v>
      </c>
      <c r="D11">
        <v>32350</v>
      </c>
      <c r="E11">
        <f t="shared" si="0"/>
        <v>5525</v>
      </c>
      <c r="F11">
        <f t="shared" si="1"/>
        <v>5525</v>
      </c>
    </row>
    <row r="12" spans="1:12" x14ac:dyDescent="0.25">
      <c r="A12">
        <v>3</v>
      </c>
      <c r="B12">
        <v>10</v>
      </c>
      <c r="C12">
        <v>38425</v>
      </c>
      <c r="D12">
        <v>38425</v>
      </c>
      <c r="E12">
        <f t="shared" si="0"/>
        <v>6075</v>
      </c>
      <c r="F12">
        <f t="shared" si="1"/>
        <v>6075</v>
      </c>
    </row>
    <row r="13" spans="1:12" x14ac:dyDescent="0.25">
      <c r="A13">
        <v>3</v>
      </c>
      <c r="B13">
        <v>11</v>
      </c>
      <c r="C13">
        <v>45050</v>
      </c>
      <c r="D13">
        <v>45050</v>
      </c>
      <c r="E13">
        <f t="shared" si="0"/>
        <v>6625</v>
      </c>
      <c r="F13">
        <f t="shared" si="1"/>
        <v>6625</v>
      </c>
    </row>
    <row r="14" spans="1:12" x14ac:dyDescent="0.25">
      <c r="A14">
        <v>3</v>
      </c>
      <c r="B14">
        <v>12</v>
      </c>
      <c r="C14">
        <v>52275</v>
      </c>
      <c r="D14">
        <v>52275</v>
      </c>
      <c r="E14">
        <f t="shared" si="0"/>
        <v>7225</v>
      </c>
      <c r="F14">
        <f t="shared" si="1"/>
        <v>7225</v>
      </c>
    </row>
    <row r="15" spans="1:12" x14ac:dyDescent="0.25">
      <c r="A15">
        <v>4</v>
      </c>
      <c r="B15">
        <v>0</v>
      </c>
    </row>
    <row r="16" spans="1:12" x14ac:dyDescent="0.25">
      <c r="A16">
        <v>4</v>
      </c>
      <c r="B16">
        <v>1</v>
      </c>
      <c r="C16">
        <v>2400</v>
      </c>
      <c r="D16">
        <v>2400</v>
      </c>
      <c r="E16">
        <v>2400</v>
      </c>
      <c r="F16">
        <v>2400</v>
      </c>
    </row>
    <row r="17" spans="1:6" x14ac:dyDescent="0.25">
      <c r="A17">
        <v>4</v>
      </c>
      <c r="B17">
        <v>2</v>
      </c>
      <c r="C17">
        <v>5375</v>
      </c>
      <c r="D17">
        <v>5375</v>
      </c>
      <c r="E17">
        <f>C17-C16</f>
        <v>2975</v>
      </c>
      <c r="F17">
        <f>D17-D16</f>
        <v>2975</v>
      </c>
    </row>
    <row r="18" spans="1:6" x14ac:dyDescent="0.25">
      <c r="A18">
        <v>4</v>
      </c>
      <c r="B18">
        <v>3</v>
      </c>
      <c r="C18">
        <v>8925</v>
      </c>
      <c r="D18">
        <v>8925</v>
      </c>
      <c r="E18">
        <f t="shared" ref="E18:E31" si="2">C18-C17</f>
        <v>3550</v>
      </c>
      <c r="F18">
        <f t="shared" ref="F18:F31" si="3">D18-D17</f>
        <v>3550</v>
      </c>
    </row>
    <row r="19" spans="1:6" x14ac:dyDescent="0.25">
      <c r="A19">
        <v>4</v>
      </c>
      <c r="B19">
        <v>4</v>
      </c>
      <c r="C19">
        <v>13050</v>
      </c>
      <c r="D19">
        <v>13050</v>
      </c>
      <c r="E19">
        <f t="shared" si="2"/>
        <v>4125</v>
      </c>
      <c r="F19">
        <f t="shared" si="3"/>
        <v>4125</v>
      </c>
    </row>
    <row r="20" spans="1:6" x14ac:dyDescent="0.25">
      <c r="A20">
        <v>4</v>
      </c>
      <c r="B20">
        <v>5</v>
      </c>
      <c r="C20">
        <v>17775</v>
      </c>
      <c r="D20">
        <v>17775</v>
      </c>
      <c r="E20">
        <f t="shared" si="2"/>
        <v>4725</v>
      </c>
      <c r="F20">
        <f t="shared" si="3"/>
        <v>4725</v>
      </c>
    </row>
    <row r="21" spans="1:6" x14ac:dyDescent="0.25">
      <c r="A21">
        <v>4</v>
      </c>
      <c r="B21">
        <v>6</v>
      </c>
      <c r="C21">
        <v>23125</v>
      </c>
      <c r="D21">
        <v>23125</v>
      </c>
      <c r="E21">
        <f t="shared" si="2"/>
        <v>5350</v>
      </c>
      <c r="F21">
        <f t="shared" si="3"/>
        <v>5350</v>
      </c>
    </row>
    <row r="22" spans="1:6" x14ac:dyDescent="0.25">
      <c r="A22">
        <v>4</v>
      </c>
      <c r="B22">
        <v>7</v>
      </c>
      <c r="C22">
        <v>29125</v>
      </c>
      <c r="D22">
        <v>29125</v>
      </c>
      <c r="E22">
        <f t="shared" si="2"/>
        <v>6000</v>
      </c>
      <c r="F22">
        <f t="shared" si="3"/>
        <v>6000</v>
      </c>
    </row>
    <row r="23" spans="1:6" x14ac:dyDescent="0.25">
      <c r="A23">
        <v>4</v>
      </c>
      <c r="B23">
        <v>8</v>
      </c>
      <c r="C23">
        <v>35800</v>
      </c>
      <c r="D23">
        <v>35800</v>
      </c>
      <c r="E23">
        <f t="shared" si="2"/>
        <v>6675</v>
      </c>
      <c r="F23">
        <f t="shared" si="3"/>
        <v>6675</v>
      </c>
    </row>
    <row r="24" spans="1:6" x14ac:dyDescent="0.25">
      <c r="A24">
        <v>4</v>
      </c>
      <c r="B24">
        <v>9</v>
      </c>
      <c r="C24">
        <v>43175</v>
      </c>
      <c r="D24">
        <v>43175</v>
      </c>
      <c r="E24">
        <f t="shared" si="2"/>
        <v>7375</v>
      </c>
      <c r="F24">
        <f t="shared" si="3"/>
        <v>7375</v>
      </c>
    </row>
    <row r="25" spans="1:6" x14ac:dyDescent="0.25">
      <c r="A25">
        <v>4</v>
      </c>
      <c r="B25">
        <v>10</v>
      </c>
      <c r="C25">
        <v>51275</v>
      </c>
      <c r="D25">
        <v>51275</v>
      </c>
      <c r="E25">
        <f t="shared" si="2"/>
        <v>8100</v>
      </c>
      <c r="F25">
        <f t="shared" si="3"/>
        <v>8100</v>
      </c>
    </row>
    <row r="26" spans="1:6" x14ac:dyDescent="0.25">
      <c r="A26">
        <v>4</v>
      </c>
      <c r="B26">
        <v>11</v>
      </c>
      <c r="C26">
        <v>60125</v>
      </c>
      <c r="D26">
        <v>60125</v>
      </c>
      <c r="E26">
        <f t="shared" si="2"/>
        <v>8850</v>
      </c>
      <c r="F26">
        <f t="shared" si="3"/>
        <v>8850</v>
      </c>
    </row>
    <row r="27" spans="1:6" x14ac:dyDescent="0.25">
      <c r="A27">
        <v>4</v>
      </c>
      <c r="B27">
        <v>12</v>
      </c>
      <c r="C27">
        <v>69750</v>
      </c>
      <c r="D27">
        <v>69750</v>
      </c>
      <c r="E27">
        <f t="shared" si="2"/>
        <v>9625</v>
      </c>
      <c r="F27">
        <f t="shared" si="3"/>
        <v>9625</v>
      </c>
    </row>
    <row r="28" spans="1:6" x14ac:dyDescent="0.25">
      <c r="A28">
        <v>4</v>
      </c>
      <c r="B28">
        <v>13</v>
      </c>
      <c r="C28">
        <v>80175</v>
      </c>
      <c r="D28">
        <v>80175</v>
      </c>
      <c r="E28">
        <f t="shared" si="2"/>
        <v>10425</v>
      </c>
      <c r="F28">
        <f t="shared" si="3"/>
        <v>10425</v>
      </c>
    </row>
    <row r="29" spans="1:6" x14ac:dyDescent="0.25">
      <c r="A29">
        <v>4</v>
      </c>
      <c r="B29">
        <v>14</v>
      </c>
      <c r="C29">
        <v>92300</v>
      </c>
      <c r="D29">
        <v>92300</v>
      </c>
      <c r="E29">
        <f t="shared" si="2"/>
        <v>12125</v>
      </c>
      <c r="F29">
        <f t="shared" si="3"/>
        <v>12125</v>
      </c>
    </row>
    <row r="30" spans="1:6" x14ac:dyDescent="0.25">
      <c r="A30">
        <v>4</v>
      </c>
      <c r="B30">
        <v>15</v>
      </c>
      <c r="C30">
        <v>106375</v>
      </c>
      <c r="D30">
        <v>106375</v>
      </c>
      <c r="E30">
        <f t="shared" si="2"/>
        <v>14075</v>
      </c>
      <c r="F30">
        <f t="shared" si="3"/>
        <v>14075</v>
      </c>
    </row>
    <row r="31" spans="1:6" x14ac:dyDescent="0.25">
      <c r="A31">
        <v>4</v>
      </c>
      <c r="B31">
        <v>16</v>
      </c>
      <c r="C31">
        <v>122675</v>
      </c>
      <c r="D31">
        <v>122675</v>
      </c>
      <c r="E31">
        <f t="shared" si="2"/>
        <v>16300</v>
      </c>
      <c r="F31">
        <f t="shared" si="3"/>
        <v>16300</v>
      </c>
    </row>
    <row r="32" spans="1:6" x14ac:dyDescent="0.25">
      <c r="A32">
        <v>5</v>
      </c>
      <c r="B32">
        <v>0</v>
      </c>
    </row>
    <row r="33" spans="1:6" x14ac:dyDescent="0.25">
      <c r="A33">
        <v>5</v>
      </c>
      <c r="B33">
        <v>1</v>
      </c>
      <c r="C33">
        <v>3000</v>
      </c>
      <c r="D33">
        <v>3000</v>
      </c>
      <c r="E33">
        <v>3000</v>
      </c>
      <c r="F33">
        <v>3000</v>
      </c>
    </row>
    <row r="34" spans="1:6" x14ac:dyDescent="0.25">
      <c r="A34">
        <v>5</v>
      </c>
      <c r="B34">
        <v>2</v>
      </c>
      <c r="C34">
        <v>6725</v>
      </c>
      <c r="D34">
        <v>6725</v>
      </c>
      <c r="E34">
        <f>C34-C33</f>
        <v>3725</v>
      </c>
      <c r="F34">
        <f>D34-D33</f>
        <v>3725</v>
      </c>
    </row>
    <row r="35" spans="1:6" x14ac:dyDescent="0.25">
      <c r="A35">
        <v>5</v>
      </c>
      <c r="B35">
        <v>3</v>
      </c>
      <c r="C35">
        <v>11150</v>
      </c>
      <c r="D35">
        <v>11150</v>
      </c>
      <c r="E35">
        <f t="shared" ref="E35:E52" si="4">C35-C34</f>
        <v>4425</v>
      </c>
      <c r="F35">
        <f t="shared" ref="F35:F52" si="5">D35-D34</f>
        <v>4425</v>
      </c>
    </row>
    <row r="36" spans="1:6" x14ac:dyDescent="0.25">
      <c r="A36">
        <v>5</v>
      </c>
      <c r="B36">
        <v>4</v>
      </c>
      <c r="C36">
        <v>16300</v>
      </c>
      <c r="D36">
        <v>16300</v>
      </c>
      <c r="E36">
        <f t="shared" si="4"/>
        <v>5150</v>
      </c>
      <c r="F36">
        <f t="shared" si="5"/>
        <v>5150</v>
      </c>
    </row>
    <row r="37" spans="1:6" x14ac:dyDescent="0.25">
      <c r="A37">
        <v>5</v>
      </c>
      <c r="B37">
        <v>5</v>
      </c>
      <c r="C37">
        <v>22200</v>
      </c>
      <c r="D37">
        <v>22200</v>
      </c>
      <c r="E37">
        <f t="shared" si="4"/>
        <v>5900</v>
      </c>
      <c r="F37">
        <f t="shared" si="5"/>
        <v>5900</v>
      </c>
    </row>
    <row r="38" spans="1:6" x14ac:dyDescent="0.25">
      <c r="A38">
        <v>5</v>
      </c>
      <c r="B38">
        <v>6</v>
      </c>
      <c r="C38">
        <v>28875</v>
      </c>
      <c r="D38">
        <v>28875</v>
      </c>
      <c r="E38">
        <f t="shared" si="4"/>
        <v>6675</v>
      </c>
      <c r="F38">
        <f t="shared" si="5"/>
        <v>6675</v>
      </c>
    </row>
    <row r="39" spans="1:6" x14ac:dyDescent="0.25">
      <c r="A39">
        <v>5</v>
      </c>
      <c r="B39">
        <v>7</v>
      </c>
      <c r="C39">
        <v>36375</v>
      </c>
      <c r="D39">
        <v>36375</v>
      </c>
      <c r="E39">
        <f t="shared" si="4"/>
        <v>7500</v>
      </c>
      <c r="F39">
        <f t="shared" si="5"/>
        <v>7500</v>
      </c>
    </row>
    <row r="40" spans="1:6" x14ac:dyDescent="0.25">
      <c r="A40">
        <v>5</v>
      </c>
      <c r="B40">
        <v>8</v>
      </c>
      <c r="C40">
        <v>44725</v>
      </c>
      <c r="D40">
        <v>44725</v>
      </c>
      <c r="E40">
        <f t="shared" si="4"/>
        <v>8350</v>
      </c>
      <c r="F40">
        <f t="shared" si="5"/>
        <v>8350</v>
      </c>
    </row>
    <row r="41" spans="1:6" x14ac:dyDescent="0.25">
      <c r="A41">
        <v>5</v>
      </c>
      <c r="B41">
        <v>9</v>
      </c>
      <c r="C41">
        <v>53950</v>
      </c>
      <c r="D41">
        <v>53950</v>
      </c>
      <c r="E41">
        <f t="shared" si="4"/>
        <v>9225</v>
      </c>
      <c r="F41">
        <f t="shared" si="5"/>
        <v>9225</v>
      </c>
    </row>
    <row r="42" spans="1:6" x14ac:dyDescent="0.25">
      <c r="A42">
        <v>5</v>
      </c>
      <c r="B42">
        <v>10</v>
      </c>
      <c r="C42">
        <v>64075</v>
      </c>
      <c r="D42">
        <v>64075</v>
      </c>
      <c r="E42">
        <f t="shared" si="4"/>
        <v>10125</v>
      </c>
      <c r="F42">
        <f t="shared" si="5"/>
        <v>10125</v>
      </c>
    </row>
    <row r="43" spans="1:6" x14ac:dyDescent="0.25">
      <c r="A43">
        <v>5</v>
      </c>
      <c r="B43">
        <v>11</v>
      </c>
      <c r="C43">
        <v>75125</v>
      </c>
      <c r="D43">
        <v>75125</v>
      </c>
      <c r="E43">
        <f t="shared" si="4"/>
        <v>11050</v>
      </c>
      <c r="F43">
        <f t="shared" si="5"/>
        <v>11050</v>
      </c>
    </row>
    <row r="44" spans="1:6" x14ac:dyDescent="0.25">
      <c r="A44">
        <v>5</v>
      </c>
      <c r="B44">
        <v>12</v>
      </c>
      <c r="C44">
        <v>87150</v>
      </c>
      <c r="D44">
        <v>87150</v>
      </c>
      <c r="E44">
        <f t="shared" si="4"/>
        <v>12025</v>
      </c>
      <c r="F44">
        <f t="shared" si="5"/>
        <v>12025</v>
      </c>
    </row>
    <row r="45" spans="1:6" x14ac:dyDescent="0.25">
      <c r="A45">
        <v>5</v>
      </c>
      <c r="B45">
        <v>13</v>
      </c>
      <c r="C45">
        <v>100175</v>
      </c>
      <c r="D45">
        <v>100175</v>
      </c>
      <c r="E45">
        <f t="shared" si="4"/>
        <v>13025</v>
      </c>
      <c r="F45">
        <f t="shared" si="5"/>
        <v>13025</v>
      </c>
    </row>
    <row r="46" spans="1:6" x14ac:dyDescent="0.25">
      <c r="A46">
        <v>5</v>
      </c>
      <c r="B46">
        <v>14</v>
      </c>
      <c r="C46">
        <v>115325</v>
      </c>
      <c r="D46">
        <v>115325</v>
      </c>
      <c r="E46">
        <f t="shared" si="4"/>
        <v>15150</v>
      </c>
      <c r="F46">
        <f t="shared" si="5"/>
        <v>15150</v>
      </c>
    </row>
    <row r="47" spans="1:6" x14ac:dyDescent="0.25">
      <c r="A47">
        <v>5</v>
      </c>
      <c r="B47">
        <v>15</v>
      </c>
      <c r="C47">
        <v>132925</v>
      </c>
      <c r="D47">
        <v>132925</v>
      </c>
      <c r="E47">
        <f t="shared" si="4"/>
        <v>17600</v>
      </c>
      <c r="F47">
        <f t="shared" si="5"/>
        <v>17600</v>
      </c>
    </row>
    <row r="48" spans="1:6" x14ac:dyDescent="0.25">
      <c r="A48">
        <v>5</v>
      </c>
      <c r="B48">
        <v>16</v>
      </c>
      <c r="C48">
        <v>153300</v>
      </c>
      <c r="D48">
        <v>153300</v>
      </c>
      <c r="E48">
        <f t="shared" si="4"/>
        <v>20375</v>
      </c>
      <c r="F48">
        <f t="shared" si="5"/>
        <v>20375</v>
      </c>
    </row>
    <row r="49" spans="1:6" x14ac:dyDescent="0.25">
      <c r="A49">
        <v>5</v>
      </c>
      <c r="B49">
        <v>17</v>
      </c>
      <c r="C49">
        <v>176800</v>
      </c>
      <c r="D49">
        <v>176800</v>
      </c>
      <c r="E49">
        <f t="shared" si="4"/>
        <v>23500</v>
      </c>
      <c r="F49">
        <f t="shared" si="5"/>
        <v>23500</v>
      </c>
    </row>
    <row r="50" spans="1:6" x14ac:dyDescent="0.25">
      <c r="A50">
        <v>5</v>
      </c>
      <c r="B50">
        <v>18</v>
      </c>
      <c r="C50">
        <v>203850</v>
      </c>
      <c r="D50">
        <v>203850</v>
      </c>
      <c r="E50">
        <f t="shared" si="4"/>
        <v>27050</v>
      </c>
      <c r="F50">
        <f t="shared" si="5"/>
        <v>27050</v>
      </c>
    </row>
    <row r="51" spans="1:6" x14ac:dyDescent="0.25">
      <c r="A51">
        <v>5</v>
      </c>
      <c r="B51">
        <v>19</v>
      </c>
      <c r="C51">
        <v>234900</v>
      </c>
      <c r="D51">
        <v>234900</v>
      </c>
      <c r="E51">
        <f t="shared" si="4"/>
        <v>31050</v>
      </c>
      <c r="F51">
        <f t="shared" si="5"/>
        <v>31050</v>
      </c>
    </row>
    <row r="52" spans="1:6" x14ac:dyDescent="0.25">
      <c r="A52">
        <v>5</v>
      </c>
      <c r="B52">
        <v>20</v>
      </c>
      <c r="C52">
        <v>270475</v>
      </c>
      <c r="D52">
        <v>270475</v>
      </c>
      <c r="E52">
        <f t="shared" si="4"/>
        <v>35575</v>
      </c>
      <c r="F52">
        <f t="shared" si="5"/>
        <v>35575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15573-5495-4DAB-B764-FA6608678CDF}">
  <sheetPr codeName="Sheet10"/>
  <dimension ref="A1:H25"/>
  <sheetViews>
    <sheetView workbookViewId="0">
      <pane ySplit="1" topLeftCell="A2" activePane="bottomLeft" state="frozen"/>
      <selection pane="bottomLeft"/>
    </sheetView>
  </sheetViews>
  <sheetFormatPr defaultRowHeight="13.8" x14ac:dyDescent="0.25"/>
  <cols>
    <col min="3" max="3" width="9.44140625" bestFit="1" customWidth="1"/>
  </cols>
  <sheetData>
    <row r="1" spans="1:8" x14ac:dyDescent="0.25">
      <c r="A1" t="s">
        <v>345</v>
      </c>
      <c r="B1" t="s">
        <v>6</v>
      </c>
      <c r="C1" t="s">
        <v>2</v>
      </c>
      <c r="D1" t="s">
        <v>3</v>
      </c>
      <c r="E1" t="s">
        <v>4</v>
      </c>
      <c r="F1" t="s">
        <v>5</v>
      </c>
      <c r="H1" t="s">
        <v>368</v>
      </c>
    </row>
    <row r="2" spans="1:8" x14ac:dyDescent="0.25">
      <c r="A2">
        <v>3</v>
      </c>
      <c r="B2">
        <v>1</v>
      </c>
      <c r="H2" t="s">
        <v>375</v>
      </c>
    </row>
    <row r="3" spans="1:8" x14ac:dyDescent="0.25">
      <c r="A3">
        <v>3</v>
      </c>
      <c r="B3">
        <v>20</v>
      </c>
      <c r="C3">
        <v>53475</v>
      </c>
      <c r="D3">
        <v>5347</v>
      </c>
      <c r="E3">
        <v>53475</v>
      </c>
      <c r="F3">
        <v>5347</v>
      </c>
    </row>
    <row r="4" spans="1:8" x14ac:dyDescent="0.25">
      <c r="A4">
        <v>3</v>
      </c>
      <c r="B4">
        <v>40</v>
      </c>
      <c r="C4">
        <v>327475</v>
      </c>
      <c r="D4">
        <v>37747</v>
      </c>
      <c r="E4">
        <f t="shared" ref="E4:F9" si="0">C4-C3</f>
        <v>274000</v>
      </c>
      <c r="F4">
        <f t="shared" si="0"/>
        <v>32400</v>
      </c>
    </row>
    <row r="5" spans="1:8" x14ac:dyDescent="0.25">
      <c r="A5">
        <v>3</v>
      </c>
      <c r="B5">
        <v>50</v>
      </c>
      <c r="C5">
        <v>603825</v>
      </c>
      <c r="D5">
        <v>75382</v>
      </c>
      <c r="E5">
        <f t="shared" si="0"/>
        <v>276350</v>
      </c>
      <c r="F5">
        <f t="shared" si="0"/>
        <v>37635</v>
      </c>
    </row>
    <row r="6" spans="1:8" x14ac:dyDescent="0.25">
      <c r="A6">
        <v>3</v>
      </c>
      <c r="B6">
        <v>60</v>
      </c>
      <c r="C6">
        <v>1011975</v>
      </c>
      <c r="D6">
        <v>131197</v>
      </c>
      <c r="E6">
        <f t="shared" si="0"/>
        <v>408150</v>
      </c>
      <c r="F6">
        <f t="shared" si="0"/>
        <v>55815</v>
      </c>
    </row>
    <row r="7" spans="1:8" x14ac:dyDescent="0.25">
      <c r="A7">
        <v>3</v>
      </c>
      <c r="B7">
        <v>70</v>
      </c>
      <c r="C7">
        <v>1583600</v>
      </c>
      <c r="D7">
        <v>208360</v>
      </c>
      <c r="E7">
        <f t="shared" si="0"/>
        <v>571625</v>
      </c>
      <c r="F7">
        <f t="shared" si="0"/>
        <v>77163</v>
      </c>
    </row>
    <row r="8" spans="1:8" x14ac:dyDescent="0.25">
      <c r="A8">
        <v>3</v>
      </c>
      <c r="B8">
        <v>80</v>
      </c>
      <c r="C8">
        <v>2353725</v>
      </c>
      <c r="D8">
        <v>310372</v>
      </c>
      <c r="E8">
        <f t="shared" si="0"/>
        <v>770125</v>
      </c>
      <c r="F8">
        <f t="shared" si="0"/>
        <v>102012</v>
      </c>
    </row>
    <row r="9" spans="1:8" x14ac:dyDescent="0.25">
      <c r="A9">
        <v>3</v>
      </c>
      <c r="B9">
        <v>90</v>
      </c>
      <c r="C9">
        <v>3988200</v>
      </c>
      <c r="D9">
        <v>503820</v>
      </c>
      <c r="E9">
        <f t="shared" si="0"/>
        <v>1634475</v>
      </c>
      <c r="F9">
        <f t="shared" si="0"/>
        <v>193448</v>
      </c>
    </row>
    <row r="10" spans="1:8" x14ac:dyDescent="0.25">
      <c r="A10">
        <v>4</v>
      </c>
      <c r="B10">
        <v>1</v>
      </c>
    </row>
    <row r="11" spans="1:8" x14ac:dyDescent="0.25">
      <c r="A11">
        <v>4</v>
      </c>
      <c r="B11">
        <v>20</v>
      </c>
      <c r="C11">
        <v>81000</v>
      </c>
      <c r="D11">
        <v>8100</v>
      </c>
      <c r="E11">
        <v>81000</v>
      </c>
      <c r="F11">
        <v>8100</v>
      </c>
    </row>
    <row r="12" spans="1:8" x14ac:dyDescent="0.25">
      <c r="A12">
        <v>4</v>
      </c>
      <c r="B12">
        <v>40</v>
      </c>
      <c r="C12">
        <v>496125</v>
      </c>
      <c r="D12">
        <v>54612</v>
      </c>
      <c r="E12">
        <f t="shared" ref="E12:F17" si="1">C12-C11</f>
        <v>415125</v>
      </c>
      <c r="F12">
        <f t="shared" si="1"/>
        <v>46512</v>
      </c>
    </row>
    <row r="13" spans="1:8" x14ac:dyDescent="0.25">
      <c r="A13">
        <v>4</v>
      </c>
      <c r="B13">
        <v>50</v>
      </c>
      <c r="C13">
        <v>914850</v>
      </c>
      <c r="D13">
        <v>111485</v>
      </c>
      <c r="E13">
        <f t="shared" si="1"/>
        <v>418725</v>
      </c>
      <c r="F13">
        <f t="shared" si="1"/>
        <v>56873</v>
      </c>
    </row>
    <row r="14" spans="1:8" x14ac:dyDescent="0.25">
      <c r="A14">
        <v>4</v>
      </c>
      <c r="B14">
        <v>60</v>
      </c>
      <c r="C14">
        <v>1533250</v>
      </c>
      <c r="D14">
        <v>193325</v>
      </c>
      <c r="E14">
        <f t="shared" si="1"/>
        <v>618400</v>
      </c>
      <c r="F14">
        <f t="shared" si="1"/>
        <v>81840</v>
      </c>
    </row>
    <row r="15" spans="1:8" x14ac:dyDescent="0.25">
      <c r="A15">
        <v>4</v>
      </c>
      <c r="B15">
        <v>70</v>
      </c>
      <c r="C15">
        <v>2399300</v>
      </c>
      <c r="D15">
        <v>309930</v>
      </c>
      <c r="E15">
        <f t="shared" si="1"/>
        <v>866050</v>
      </c>
      <c r="F15">
        <f t="shared" si="1"/>
        <v>116605</v>
      </c>
    </row>
    <row r="16" spans="1:8" x14ac:dyDescent="0.25">
      <c r="A16">
        <v>4</v>
      </c>
      <c r="B16">
        <v>80</v>
      </c>
      <c r="C16">
        <v>3566175</v>
      </c>
      <c r="D16">
        <v>461617</v>
      </c>
      <c r="E16">
        <f t="shared" si="1"/>
        <v>1166875</v>
      </c>
      <c r="F16">
        <f t="shared" si="1"/>
        <v>151687</v>
      </c>
    </row>
    <row r="17" spans="1:6" x14ac:dyDescent="0.25">
      <c r="A17">
        <v>4</v>
      </c>
      <c r="B17">
        <v>90</v>
      </c>
      <c r="C17">
        <v>6042650</v>
      </c>
      <c r="D17">
        <v>754265</v>
      </c>
      <c r="E17">
        <f t="shared" si="1"/>
        <v>2476475</v>
      </c>
      <c r="F17">
        <f t="shared" si="1"/>
        <v>292648</v>
      </c>
    </row>
    <row r="18" spans="1:6" x14ac:dyDescent="0.25">
      <c r="A18">
        <v>5</v>
      </c>
      <c r="B18">
        <v>1</v>
      </c>
    </row>
    <row r="19" spans="1:6" x14ac:dyDescent="0.25">
      <c r="A19">
        <v>5</v>
      </c>
      <c r="B19">
        <v>20</v>
      </c>
      <c r="C19">
        <v>121550</v>
      </c>
      <c r="D19">
        <v>12155</v>
      </c>
      <c r="E19">
        <v>121550</v>
      </c>
      <c r="F19">
        <v>12155</v>
      </c>
    </row>
    <row r="20" spans="1:6" x14ac:dyDescent="0.25">
      <c r="A20">
        <v>5</v>
      </c>
      <c r="B20">
        <v>40</v>
      </c>
      <c r="C20">
        <v>744350</v>
      </c>
      <c r="D20">
        <v>84435</v>
      </c>
      <c r="E20">
        <f t="shared" ref="E20:F25" si="2">C20-C19</f>
        <v>622800</v>
      </c>
      <c r="F20">
        <f t="shared" si="2"/>
        <v>72280</v>
      </c>
    </row>
    <row r="21" spans="1:6" x14ac:dyDescent="0.25">
      <c r="A21">
        <v>5</v>
      </c>
      <c r="B21">
        <v>50</v>
      </c>
      <c r="C21">
        <v>1372500</v>
      </c>
      <c r="D21">
        <v>167250</v>
      </c>
      <c r="E21">
        <f t="shared" si="2"/>
        <v>628150</v>
      </c>
      <c r="F21">
        <f t="shared" si="2"/>
        <v>82815</v>
      </c>
    </row>
    <row r="22" spans="1:6" x14ac:dyDescent="0.25">
      <c r="A22">
        <v>5</v>
      </c>
      <c r="B22">
        <v>60</v>
      </c>
      <c r="C22">
        <v>2300175</v>
      </c>
      <c r="D22">
        <v>290017</v>
      </c>
      <c r="E22">
        <f t="shared" si="2"/>
        <v>927675</v>
      </c>
      <c r="F22">
        <f t="shared" si="2"/>
        <v>122767</v>
      </c>
    </row>
    <row r="23" spans="1:6" x14ac:dyDescent="0.25">
      <c r="A23">
        <v>5</v>
      </c>
      <c r="B23">
        <v>70</v>
      </c>
      <c r="C23">
        <v>3599300</v>
      </c>
      <c r="D23">
        <v>464930</v>
      </c>
      <c r="E23">
        <f t="shared" si="2"/>
        <v>1299125</v>
      </c>
      <c r="F23">
        <f t="shared" si="2"/>
        <v>174913</v>
      </c>
    </row>
    <row r="24" spans="1:6" x14ac:dyDescent="0.25">
      <c r="A24">
        <v>5</v>
      </c>
      <c r="B24">
        <v>80</v>
      </c>
      <c r="C24">
        <v>5349675</v>
      </c>
      <c r="D24">
        <v>694967</v>
      </c>
      <c r="E24">
        <f t="shared" si="2"/>
        <v>1750375</v>
      </c>
      <c r="F24">
        <f t="shared" si="2"/>
        <v>230037</v>
      </c>
    </row>
    <row r="25" spans="1:6" x14ac:dyDescent="0.25">
      <c r="A25">
        <v>5</v>
      </c>
      <c r="B25">
        <v>90</v>
      </c>
      <c r="C25">
        <v>9064450</v>
      </c>
      <c r="D25">
        <v>1131445</v>
      </c>
      <c r="E25">
        <f t="shared" si="2"/>
        <v>3714775</v>
      </c>
      <c r="F25">
        <f t="shared" si="2"/>
        <v>436478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21F6F-1F49-4E37-9D92-4961EB12BF4A}">
  <sheetPr codeName="Sheet11"/>
  <dimension ref="A1:J25"/>
  <sheetViews>
    <sheetView workbookViewId="0">
      <pane ySplit="1" topLeftCell="A2" activePane="bottomLeft" state="frozen"/>
      <selection pane="bottomLeft"/>
    </sheetView>
  </sheetViews>
  <sheetFormatPr defaultRowHeight="13.8" x14ac:dyDescent="0.25"/>
  <sheetData>
    <row r="1" spans="1:10" x14ac:dyDescent="0.25">
      <c r="A1" t="s">
        <v>281</v>
      </c>
      <c r="B1" t="s">
        <v>0</v>
      </c>
      <c r="C1" t="s">
        <v>320</v>
      </c>
      <c r="D1" t="s">
        <v>196</v>
      </c>
      <c r="E1" t="s">
        <v>321</v>
      </c>
      <c r="F1" t="s">
        <v>196</v>
      </c>
      <c r="G1" t="s">
        <v>322</v>
      </c>
      <c r="H1" t="s">
        <v>196</v>
      </c>
      <c r="J1" t="s">
        <v>368</v>
      </c>
    </row>
    <row r="2" spans="1:10" x14ac:dyDescent="0.25">
      <c r="A2">
        <v>3</v>
      </c>
      <c r="B2">
        <v>1</v>
      </c>
      <c r="J2" t="s">
        <v>375</v>
      </c>
    </row>
    <row r="3" spans="1:10" x14ac:dyDescent="0.25">
      <c r="A3">
        <v>3</v>
      </c>
      <c r="B3">
        <v>20</v>
      </c>
      <c r="C3">
        <v>1</v>
      </c>
      <c r="D3">
        <v>2</v>
      </c>
      <c r="E3">
        <v>1</v>
      </c>
      <c r="F3">
        <v>2</v>
      </c>
      <c r="G3">
        <v>1</v>
      </c>
      <c r="H3">
        <v>1</v>
      </c>
    </row>
    <row r="4" spans="1:10" x14ac:dyDescent="0.25">
      <c r="A4">
        <v>3</v>
      </c>
      <c r="B4">
        <v>40</v>
      </c>
      <c r="C4">
        <v>2</v>
      </c>
      <c r="D4">
        <v>2</v>
      </c>
      <c r="E4">
        <v>1</v>
      </c>
      <c r="F4">
        <v>8</v>
      </c>
      <c r="G4">
        <v>1</v>
      </c>
      <c r="H4">
        <v>5</v>
      </c>
    </row>
    <row r="5" spans="1:10" x14ac:dyDescent="0.25">
      <c r="A5">
        <v>3</v>
      </c>
      <c r="B5">
        <v>50</v>
      </c>
      <c r="C5">
        <v>2</v>
      </c>
      <c r="D5">
        <v>4</v>
      </c>
      <c r="E5">
        <v>2</v>
      </c>
      <c r="F5">
        <v>4</v>
      </c>
      <c r="G5">
        <v>2</v>
      </c>
      <c r="H5">
        <v>4</v>
      </c>
    </row>
    <row r="6" spans="1:10" x14ac:dyDescent="0.25">
      <c r="A6">
        <v>3</v>
      </c>
      <c r="B6">
        <v>60</v>
      </c>
      <c r="C6">
        <v>3</v>
      </c>
      <c r="D6">
        <v>2</v>
      </c>
      <c r="E6">
        <v>2</v>
      </c>
      <c r="F6">
        <v>8</v>
      </c>
      <c r="G6">
        <v>2</v>
      </c>
      <c r="H6">
        <v>6</v>
      </c>
    </row>
    <row r="7" spans="1:10" x14ac:dyDescent="0.25">
      <c r="A7">
        <v>3</v>
      </c>
      <c r="B7">
        <v>70</v>
      </c>
      <c r="C7">
        <v>3</v>
      </c>
      <c r="D7">
        <v>4</v>
      </c>
      <c r="E7">
        <v>3</v>
      </c>
      <c r="F7">
        <v>6</v>
      </c>
      <c r="G7">
        <v>3</v>
      </c>
      <c r="H7">
        <v>4</v>
      </c>
    </row>
    <row r="8" spans="1:10" x14ac:dyDescent="0.25">
      <c r="A8">
        <v>3</v>
      </c>
      <c r="B8">
        <v>80</v>
      </c>
      <c r="C8">
        <v>4</v>
      </c>
      <c r="D8">
        <v>3</v>
      </c>
      <c r="E8">
        <v>3</v>
      </c>
      <c r="F8">
        <v>12</v>
      </c>
      <c r="G8">
        <v>3</v>
      </c>
      <c r="H8">
        <v>8</v>
      </c>
    </row>
    <row r="9" spans="1:10" x14ac:dyDescent="0.25">
      <c r="A9">
        <v>3</v>
      </c>
      <c r="B9">
        <v>90</v>
      </c>
    </row>
    <row r="10" spans="1:10" x14ac:dyDescent="0.25">
      <c r="A10">
        <v>4</v>
      </c>
      <c r="B10">
        <v>1</v>
      </c>
    </row>
    <row r="11" spans="1:10" x14ac:dyDescent="0.25">
      <c r="A11">
        <v>4</v>
      </c>
      <c r="B11">
        <v>20</v>
      </c>
      <c r="C11">
        <v>1</v>
      </c>
      <c r="D11">
        <v>3</v>
      </c>
      <c r="E11">
        <v>1</v>
      </c>
      <c r="F11">
        <v>3</v>
      </c>
      <c r="G11">
        <v>1</v>
      </c>
      <c r="H11">
        <v>2</v>
      </c>
    </row>
    <row r="12" spans="1:10" x14ac:dyDescent="0.25">
      <c r="A12">
        <v>4</v>
      </c>
      <c r="B12">
        <v>40</v>
      </c>
      <c r="C12">
        <v>2</v>
      </c>
      <c r="D12">
        <v>3</v>
      </c>
      <c r="E12">
        <v>1</v>
      </c>
      <c r="F12">
        <v>12</v>
      </c>
      <c r="G12">
        <v>1</v>
      </c>
      <c r="H12">
        <v>8</v>
      </c>
    </row>
    <row r="13" spans="1:10" x14ac:dyDescent="0.25">
      <c r="A13">
        <v>4</v>
      </c>
      <c r="B13">
        <v>50</v>
      </c>
      <c r="C13">
        <v>2</v>
      </c>
      <c r="D13">
        <v>6</v>
      </c>
      <c r="E13">
        <v>2</v>
      </c>
      <c r="F13">
        <v>6</v>
      </c>
      <c r="G13">
        <v>2</v>
      </c>
      <c r="H13">
        <v>6</v>
      </c>
    </row>
    <row r="14" spans="1:10" x14ac:dyDescent="0.25">
      <c r="A14">
        <v>4</v>
      </c>
      <c r="B14">
        <v>60</v>
      </c>
      <c r="C14">
        <v>3</v>
      </c>
      <c r="D14">
        <v>3</v>
      </c>
      <c r="E14">
        <v>2</v>
      </c>
      <c r="F14">
        <v>12</v>
      </c>
      <c r="G14">
        <v>2</v>
      </c>
      <c r="H14">
        <v>9</v>
      </c>
    </row>
    <row r="15" spans="1:10" x14ac:dyDescent="0.25">
      <c r="A15">
        <v>4</v>
      </c>
      <c r="B15">
        <v>70</v>
      </c>
      <c r="C15">
        <v>3</v>
      </c>
      <c r="D15">
        <v>6</v>
      </c>
      <c r="E15">
        <v>3</v>
      </c>
      <c r="F15">
        <v>9</v>
      </c>
      <c r="G15">
        <v>3</v>
      </c>
      <c r="H15">
        <v>6</v>
      </c>
    </row>
    <row r="16" spans="1:10" x14ac:dyDescent="0.25">
      <c r="A16">
        <v>4</v>
      </c>
      <c r="B16">
        <v>80</v>
      </c>
      <c r="C16">
        <v>4</v>
      </c>
      <c r="D16">
        <v>4</v>
      </c>
      <c r="E16">
        <v>3</v>
      </c>
      <c r="F16">
        <v>18</v>
      </c>
      <c r="G16">
        <v>3</v>
      </c>
      <c r="H16">
        <v>12</v>
      </c>
    </row>
    <row r="17" spans="1:8" x14ac:dyDescent="0.25">
      <c r="A17">
        <v>4</v>
      </c>
      <c r="B17">
        <v>90</v>
      </c>
    </row>
    <row r="18" spans="1:8" x14ac:dyDescent="0.25">
      <c r="A18">
        <v>5</v>
      </c>
      <c r="B18">
        <v>1</v>
      </c>
    </row>
    <row r="19" spans="1:8" x14ac:dyDescent="0.25">
      <c r="A19">
        <v>5</v>
      </c>
      <c r="B19">
        <v>20</v>
      </c>
      <c r="C19">
        <v>1</v>
      </c>
      <c r="D19">
        <v>5</v>
      </c>
      <c r="E19">
        <v>1</v>
      </c>
      <c r="F19">
        <v>5</v>
      </c>
      <c r="G19">
        <v>1</v>
      </c>
      <c r="H19">
        <v>3</v>
      </c>
    </row>
    <row r="20" spans="1:8" x14ac:dyDescent="0.25">
      <c r="A20">
        <v>5</v>
      </c>
      <c r="B20">
        <v>40</v>
      </c>
      <c r="C20">
        <v>2</v>
      </c>
      <c r="D20">
        <v>5</v>
      </c>
      <c r="E20">
        <v>1</v>
      </c>
      <c r="F20">
        <v>18</v>
      </c>
      <c r="G20">
        <v>1</v>
      </c>
      <c r="H20">
        <v>12</v>
      </c>
    </row>
    <row r="21" spans="1:8" x14ac:dyDescent="0.25">
      <c r="A21">
        <v>5</v>
      </c>
      <c r="B21">
        <v>50</v>
      </c>
      <c r="C21">
        <v>2</v>
      </c>
      <c r="D21">
        <v>9</v>
      </c>
      <c r="E21">
        <v>2</v>
      </c>
      <c r="F21">
        <v>9</v>
      </c>
      <c r="G21">
        <v>2</v>
      </c>
      <c r="H21">
        <v>9</v>
      </c>
    </row>
    <row r="22" spans="1:8" x14ac:dyDescent="0.25">
      <c r="A22">
        <v>5</v>
      </c>
      <c r="B22">
        <v>60</v>
      </c>
      <c r="C22">
        <v>3</v>
      </c>
      <c r="D22">
        <v>5</v>
      </c>
      <c r="E22">
        <v>2</v>
      </c>
      <c r="F22">
        <v>18</v>
      </c>
      <c r="G22">
        <v>2</v>
      </c>
      <c r="H22">
        <v>14</v>
      </c>
    </row>
    <row r="23" spans="1:8" x14ac:dyDescent="0.25">
      <c r="A23">
        <v>5</v>
      </c>
      <c r="B23">
        <v>70</v>
      </c>
      <c r="C23">
        <v>3</v>
      </c>
      <c r="D23">
        <v>9</v>
      </c>
      <c r="E23">
        <v>3</v>
      </c>
      <c r="F23">
        <v>14</v>
      </c>
      <c r="G23">
        <v>3</v>
      </c>
      <c r="H23">
        <v>9</v>
      </c>
    </row>
    <row r="24" spans="1:8" x14ac:dyDescent="0.25">
      <c r="A24">
        <v>5</v>
      </c>
      <c r="B24">
        <v>80</v>
      </c>
      <c r="C24">
        <v>4</v>
      </c>
      <c r="D24">
        <v>6</v>
      </c>
      <c r="E24">
        <v>3</v>
      </c>
      <c r="F24">
        <v>27</v>
      </c>
      <c r="G24">
        <v>3</v>
      </c>
      <c r="H24">
        <v>18</v>
      </c>
    </row>
    <row r="25" spans="1:8" x14ac:dyDescent="0.25">
      <c r="A25">
        <v>5</v>
      </c>
      <c r="B25">
        <v>90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DC554-F393-4F3C-8D13-5696620EDE84}">
  <sheetPr codeName="Sheet13"/>
  <dimension ref="A1:L32"/>
  <sheetViews>
    <sheetView workbookViewId="0">
      <pane ySplit="1" topLeftCell="A2" activePane="bottomLeft" state="frozen"/>
      <selection pane="bottomLeft" activeCell="L24" sqref="L24"/>
    </sheetView>
  </sheetViews>
  <sheetFormatPr defaultRowHeight="13.8" x14ac:dyDescent="0.25"/>
  <cols>
    <col min="1" max="1" width="15.109375" bestFit="1" customWidth="1"/>
  </cols>
  <sheetData>
    <row r="1" spans="1:12" x14ac:dyDescent="0.25">
      <c r="A1" t="s">
        <v>26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  <c r="J1" t="s">
        <v>126</v>
      </c>
      <c r="L1" t="s">
        <v>368</v>
      </c>
    </row>
    <row r="2" spans="1:12" x14ac:dyDescent="0.25">
      <c r="A2" t="s">
        <v>127</v>
      </c>
      <c r="B2" t="s">
        <v>128</v>
      </c>
      <c r="C2">
        <v>2</v>
      </c>
      <c r="D2" t="s">
        <v>129</v>
      </c>
      <c r="E2">
        <v>1</v>
      </c>
      <c r="F2" t="s">
        <v>130</v>
      </c>
      <c r="G2">
        <v>1</v>
      </c>
      <c r="J2" t="s">
        <v>131</v>
      </c>
      <c r="L2" t="s">
        <v>376</v>
      </c>
    </row>
    <row r="3" spans="1:12" x14ac:dyDescent="0.25">
      <c r="A3" t="s">
        <v>132</v>
      </c>
      <c r="B3" t="s">
        <v>133</v>
      </c>
      <c r="C3">
        <v>4</v>
      </c>
      <c r="D3" t="s">
        <v>134</v>
      </c>
      <c r="E3">
        <v>3</v>
      </c>
      <c r="F3" t="s">
        <v>135</v>
      </c>
      <c r="G3">
        <v>2</v>
      </c>
      <c r="H3" t="s">
        <v>136</v>
      </c>
      <c r="I3">
        <v>1</v>
      </c>
      <c r="J3" t="s">
        <v>137</v>
      </c>
    </row>
    <row r="4" spans="1:12" x14ac:dyDescent="0.25">
      <c r="A4" t="s">
        <v>141</v>
      </c>
      <c r="B4" t="s">
        <v>134</v>
      </c>
      <c r="C4">
        <v>2</v>
      </c>
      <c r="D4" t="s">
        <v>142</v>
      </c>
      <c r="E4">
        <v>1</v>
      </c>
      <c r="F4" t="s">
        <v>143</v>
      </c>
      <c r="G4">
        <v>3</v>
      </c>
      <c r="J4" t="s">
        <v>144</v>
      </c>
    </row>
    <row r="5" spans="1:12" x14ac:dyDescent="0.25">
      <c r="A5" t="s">
        <v>145</v>
      </c>
      <c r="B5" t="s">
        <v>146</v>
      </c>
      <c r="C5">
        <v>4</v>
      </c>
      <c r="D5" t="s">
        <v>147</v>
      </c>
      <c r="E5">
        <v>3</v>
      </c>
      <c r="F5" t="s">
        <v>148</v>
      </c>
      <c r="G5">
        <v>3</v>
      </c>
      <c r="H5" t="s">
        <v>149</v>
      </c>
      <c r="I5">
        <v>3</v>
      </c>
      <c r="J5" t="s">
        <v>150</v>
      </c>
    </row>
    <row r="6" spans="1:12" x14ac:dyDescent="0.25">
      <c r="A6" t="s">
        <v>385</v>
      </c>
      <c r="B6" t="s">
        <v>386</v>
      </c>
      <c r="C6">
        <v>4</v>
      </c>
      <c r="D6" t="s">
        <v>387</v>
      </c>
      <c r="E6">
        <v>1</v>
      </c>
      <c r="F6" t="s">
        <v>388</v>
      </c>
      <c r="G6">
        <v>2</v>
      </c>
      <c r="J6" t="s">
        <v>389</v>
      </c>
    </row>
    <row r="7" spans="1:12" x14ac:dyDescent="0.25">
      <c r="A7" t="s">
        <v>152</v>
      </c>
      <c r="B7" t="s">
        <v>153</v>
      </c>
      <c r="C7">
        <v>1</v>
      </c>
      <c r="D7" t="s">
        <v>140</v>
      </c>
      <c r="E7">
        <v>1</v>
      </c>
      <c r="F7" t="s">
        <v>135</v>
      </c>
      <c r="G7">
        <v>1</v>
      </c>
      <c r="J7" t="s">
        <v>151</v>
      </c>
    </row>
    <row r="8" spans="1:12" x14ac:dyDescent="0.25">
      <c r="A8" t="s">
        <v>138</v>
      </c>
      <c r="B8" t="s">
        <v>139</v>
      </c>
      <c r="C8">
        <v>4</v>
      </c>
      <c r="D8" t="s">
        <v>129</v>
      </c>
      <c r="E8">
        <v>4</v>
      </c>
      <c r="F8" t="s">
        <v>140</v>
      </c>
      <c r="G8">
        <v>4</v>
      </c>
      <c r="J8" t="s">
        <v>154</v>
      </c>
    </row>
    <row r="9" spans="1:12" x14ac:dyDescent="0.25">
      <c r="A9" t="s">
        <v>155</v>
      </c>
      <c r="B9" t="s">
        <v>156</v>
      </c>
      <c r="C9">
        <v>3</v>
      </c>
      <c r="D9" t="s">
        <v>139</v>
      </c>
      <c r="E9">
        <v>2</v>
      </c>
      <c r="F9" t="s">
        <v>157</v>
      </c>
      <c r="G9">
        <v>2</v>
      </c>
      <c r="J9" t="s">
        <v>158</v>
      </c>
    </row>
    <row r="10" spans="1:12" x14ac:dyDescent="0.25">
      <c r="A10" t="s">
        <v>134</v>
      </c>
      <c r="B10" t="s">
        <v>159</v>
      </c>
      <c r="C10">
        <v>1</v>
      </c>
      <c r="J10" t="s">
        <v>190</v>
      </c>
    </row>
    <row r="11" spans="1:12" x14ac:dyDescent="0.25">
      <c r="A11" t="s">
        <v>160</v>
      </c>
      <c r="B11" t="s">
        <v>161</v>
      </c>
      <c r="C11">
        <v>1</v>
      </c>
      <c r="J11" t="s">
        <v>190</v>
      </c>
    </row>
    <row r="12" spans="1:12" x14ac:dyDescent="0.25">
      <c r="A12" t="s">
        <v>153</v>
      </c>
      <c r="B12" t="s">
        <v>162</v>
      </c>
      <c r="C12">
        <v>3</v>
      </c>
      <c r="D12" t="s">
        <v>163</v>
      </c>
      <c r="E12">
        <v>1</v>
      </c>
      <c r="J12" t="s">
        <v>190</v>
      </c>
    </row>
    <row r="13" spans="1:12" x14ac:dyDescent="0.25">
      <c r="A13" t="s">
        <v>164</v>
      </c>
      <c r="B13" t="s">
        <v>161</v>
      </c>
      <c r="C13">
        <v>2</v>
      </c>
      <c r="J13" t="s">
        <v>190</v>
      </c>
    </row>
    <row r="14" spans="1:12" x14ac:dyDescent="0.25">
      <c r="A14" t="s">
        <v>146</v>
      </c>
      <c r="B14" t="s">
        <v>156</v>
      </c>
      <c r="C14">
        <v>2</v>
      </c>
      <c r="D14" t="s">
        <v>163</v>
      </c>
      <c r="E14">
        <v>1</v>
      </c>
      <c r="J14" t="s">
        <v>190</v>
      </c>
    </row>
    <row r="15" spans="1:12" x14ac:dyDescent="0.25">
      <c r="A15" t="s">
        <v>157</v>
      </c>
      <c r="B15" t="s">
        <v>165</v>
      </c>
      <c r="C15">
        <v>2</v>
      </c>
      <c r="J15" t="s">
        <v>190</v>
      </c>
    </row>
    <row r="16" spans="1:12" x14ac:dyDescent="0.25">
      <c r="A16" t="s">
        <v>166</v>
      </c>
      <c r="B16" t="s">
        <v>147</v>
      </c>
      <c r="C16">
        <v>4</v>
      </c>
      <c r="J16" t="s">
        <v>190</v>
      </c>
    </row>
    <row r="17" spans="1:10" x14ac:dyDescent="0.25">
      <c r="A17" t="s">
        <v>130</v>
      </c>
      <c r="B17" t="s">
        <v>167</v>
      </c>
      <c r="C17">
        <v>3</v>
      </c>
      <c r="D17" t="s">
        <v>143</v>
      </c>
      <c r="E17">
        <v>2</v>
      </c>
      <c r="F17" t="s">
        <v>157</v>
      </c>
      <c r="G17">
        <v>1</v>
      </c>
      <c r="J17" t="s">
        <v>190</v>
      </c>
    </row>
    <row r="18" spans="1:10" x14ac:dyDescent="0.25">
      <c r="A18" t="s">
        <v>136</v>
      </c>
      <c r="B18" t="s">
        <v>161</v>
      </c>
      <c r="C18">
        <v>3</v>
      </c>
      <c r="J18" t="s">
        <v>190</v>
      </c>
    </row>
    <row r="19" spans="1:10" x14ac:dyDescent="0.25">
      <c r="A19" t="s">
        <v>168</v>
      </c>
      <c r="B19" t="s">
        <v>156</v>
      </c>
      <c r="C19">
        <v>2</v>
      </c>
      <c r="D19" t="s">
        <v>163</v>
      </c>
      <c r="E19">
        <v>2</v>
      </c>
      <c r="J19" t="s">
        <v>190</v>
      </c>
    </row>
    <row r="20" spans="1:10" x14ac:dyDescent="0.25">
      <c r="A20" t="s">
        <v>169</v>
      </c>
      <c r="B20" t="s">
        <v>156</v>
      </c>
      <c r="C20">
        <v>3</v>
      </c>
      <c r="J20" t="s">
        <v>190</v>
      </c>
    </row>
    <row r="21" spans="1:10" x14ac:dyDescent="0.25">
      <c r="A21" t="s">
        <v>170</v>
      </c>
      <c r="B21" t="s">
        <v>171</v>
      </c>
      <c r="C21">
        <v>1</v>
      </c>
      <c r="D21" t="s">
        <v>172</v>
      </c>
      <c r="E21">
        <v>1</v>
      </c>
      <c r="J21" t="s">
        <v>191</v>
      </c>
    </row>
    <row r="22" spans="1:10" x14ac:dyDescent="0.25">
      <c r="A22" t="s">
        <v>173</v>
      </c>
      <c r="B22" t="s">
        <v>171</v>
      </c>
      <c r="C22">
        <v>1</v>
      </c>
      <c r="D22" t="s">
        <v>174</v>
      </c>
      <c r="E22">
        <v>1</v>
      </c>
      <c r="J22" t="s">
        <v>191</v>
      </c>
    </row>
    <row r="23" spans="1:10" x14ac:dyDescent="0.25">
      <c r="A23" t="s">
        <v>175</v>
      </c>
      <c r="B23" t="s">
        <v>176</v>
      </c>
      <c r="C23">
        <v>1</v>
      </c>
      <c r="D23" t="s">
        <v>177</v>
      </c>
      <c r="E23">
        <v>1</v>
      </c>
      <c r="J23" t="s">
        <v>191</v>
      </c>
    </row>
    <row r="24" spans="1:10" x14ac:dyDescent="0.25">
      <c r="A24" t="s">
        <v>178</v>
      </c>
      <c r="B24" t="s">
        <v>176</v>
      </c>
      <c r="C24">
        <v>1</v>
      </c>
      <c r="D24" t="s">
        <v>181</v>
      </c>
      <c r="E24">
        <v>1</v>
      </c>
      <c r="J24" t="s">
        <v>191</v>
      </c>
    </row>
    <row r="25" spans="1:10" x14ac:dyDescent="0.25">
      <c r="A25" t="s">
        <v>179</v>
      </c>
      <c r="B25" t="s">
        <v>171</v>
      </c>
      <c r="C25">
        <v>1</v>
      </c>
      <c r="D25" t="s">
        <v>182</v>
      </c>
      <c r="E25">
        <v>1</v>
      </c>
      <c r="J25" t="s">
        <v>191</v>
      </c>
    </row>
    <row r="26" spans="1:10" x14ac:dyDescent="0.25">
      <c r="A26" t="s">
        <v>180</v>
      </c>
      <c r="B26" t="s">
        <v>171</v>
      </c>
      <c r="C26">
        <v>1</v>
      </c>
      <c r="D26" t="s">
        <v>183</v>
      </c>
      <c r="E26">
        <v>1</v>
      </c>
      <c r="J26" t="s">
        <v>191</v>
      </c>
    </row>
    <row r="27" spans="1:10" x14ac:dyDescent="0.25">
      <c r="A27" t="s">
        <v>184</v>
      </c>
      <c r="B27" t="s">
        <v>193</v>
      </c>
      <c r="C27">
        <v>1</v>
      </c>
      <c r="D27" t="s">
        <v>172</v>
      </c>
      <c r="E27">
        <v>1</v>
      </c>
      <c r="J27" t="s">
        <v>192</v>
      </c>
    </row>
    <row r="28" spans="1:10" x14ac:dyDescent="0.25">
      <c r="A28" t="s">
        <v>185</v>
      </c>
      <c r="B28" t="s">
        <v>193</v>
      </c>
      <c r="C28">
        <v>1</v>
      </c>
      <c r="D28" t="s">
        <v>174</v>
      </c>
      <c r="E28">
        <v>1</v>
      </c>
      <c r="J28" t="s">
        <v>192</v>
      </c>
    </row>
    <row r="29" spans="1:10" x14ac:dyDescent="0.25">
      <c r="A29" t="s">
        <v>186</v>
      </c>
      <c r="B29" t="s">
        <v>194</v>
      </c>
      <c r="C29">
        <v>1</v>
      </c>
      <c r="D29" t="s">
        <v>177</v>
      </c>
      <c r="E29">
        <v>1</v>
      </c>
      <c r="J29" t="s">
        <v>192</v>
      </c>
    </row>
    <row r="30" spans="1:10" x14ac:dyDescent="0.25">
      <c r="A30" t="s">
        <v>187</v>
      </c>
      <c r="B30" t="s">
        <v>194</v>
      </c>
      <c r="C30">
        <v>1</v>
      </c>
      <c r="D30" t="s">
        <v>181</v>
      </c>
      <c r="E30">
        <v>1</v>
      </c>
      <c r="J30" t="s">
        <v>192</v>
      </c>
    </row>
    <row r="31" spans="1:10" x14ac:dyDescent="0.25">
      <c r="A31" t="s">
        <v>188</v>
      </c>
      <c r="B31" t="s">
        <v>193</v>
      </c>
      <c r="C31">
        <v>1</v>
      </c>
      <c r="D31" t="s">
        <v>182</v>
      </c>
      <c r="E31">
        <v>1</v>
      </c>
      <c r="J31" t="s">
        <v>192</v>
      </c>
    </row>
    <row r="32" spans="1:10" x14ac:dyDescent="0.25">
      <c r="A32" t="s">
        <v>189</v>
      </c>
      <c r="B32" t="s">
        <v>193</v>
      </c>
      <c r="C32">
        <v>1</v>
      </c>
      <c r="D32" t="s">
        <v>183</v>
      </c>
      <c r="E32">
        <v>1</v>
      </c>
      <c r="J32" t="s">
        <v>192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7E691-C796-4863-98DE-2FE1B77CC95C}">
  <sheetPr codeName="Sheet16"/>
  <dimension ref="A1:G4"/>
  <sheetViews>
    <sheetView workbookViewId="0">
      <selection activeCell="C3" sqref="C3"/>
    </sheetView>
  </sheetViews>
  <sheetFormatPr defaultRowHeight="13.8" x14ac:dyDescent="0.25"/>
  <cols>
    <col min="1" max="1" width="14" customWidth="1"/>
    <col min="2" max="2" width="9.6640625" customWidth="1"/>
    <col min="3" max="3" width="10.33203125" customWidth="1"/>
  </cols>
  <sheetData>
    <row r="1" spans="1:7" x14ac:dyDescent="0.25">
      <c r="A1" t="s">
        <v>26</v>
      </c>
      <c r="B1" t="s">
        <v>705</v>
      </c>
      <c r="C1" t="s">
        <v>706</v>
      </c>
      <c r="G1" t="s">
        <v>368</v>
      </c>
    </row>
    <row r="2" spans="1:7" x14ac:dyDescent="0.25">
      <c r="A2" t="s">
        <v>25</v>
      </c>
      <c r="B2">
        <v>8</v>
      </c>
      <c r="C2">
        <v>2.5499999999999998</v>
      </c>
      <c r="G2" t="s">
        <v>707</v>
      </c>
    </row>
    <row r="3" spans="1:7" x14ac:dyDescent="0.25">
      <c r="A3" t="s">
        <v>198</v>
      </c>
      <c r="B3">
        <v>8</v>
      </c>
      <c r="C3">
        <f>2.2+1.97*3+0.24*3*3</f>
        <v>10.27</v>
      </c>
    </row>
    <row r="4" spans="1:7" x14ac:dyDescent="0.25">
      <c r="A4" t="s">
        <v>708</v>
      </c>
      <c r="B4">
        <v>8</v>
      </c>
      <c r="C4">
        <f>2.21+2.4*3+0.64*3*3+0.07*3*3*3</f>
        <v>17.059999999999999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首页</vt:lpstr>
      <vt:lpstr>背包-养成道具</vt:lpstr>
      <vt:lpstr>背包-材料</vt:lpstr>
      <vt:lpstr>伤害计算</vt:lpstr>
      <vt:lpstr>圣遗物属性</vt:lpstr>
      <vt:lpstr>角色</vt:lpstr>
      <vt:lpstr>武器</vt:lpstr>
      <vt:lpstr>阅历</vt:lpstr>
      <vt:lpstr>角色等级</vt:lpstr>
      <vt:lpstr>角色材料</vt:lpstr>
      <vt:lpstr>天赋材料</vt:lpstr>
      <vt:lpstr>圣遗物</vt:lpstr>
      <vt:lpstr>武器等级</vt:lpstr>
      <vt:lpstr>武器材料</vt:lpstr>
      <vt:lpstr>食物</vt:lpstr>
      <vt:lpstr>掉落期望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Yurine Hanazono</cp:lastModifiedBy>
  <dcterms:created xsi:type="dcterms:W3CDTF">2015-06-05T18:19:34Z</dcterms:created>
  <dcterms:modified xsi:type="dcterms:W3CDTF">2021-06-25T16:55:59Z</dcterms:modified>
</cp:coreProperties>
</file>